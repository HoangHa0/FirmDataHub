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dmin\Desktop\TEAM_5_FirmDataHub\data\"/>
    </mc:Choice>
  </mc:AlternateContent>
  <xr:revisionPtr revIDLastSave="0" documentId="13_ncr:1_{0FE62C69-B41F-4E3D-A17D-0FAE74045E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S công ty" sheetId="1" r:id="rId1"/>
    <sheet name="Variabl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51" i="1" l="1"/>
  <c r="Q51" i="1"/>
  <c r="AC50" i="1"/>
  <c r="Q50" i="1"/>
  <c r="AC49" i="1"/>
  <c r="Q49" i="1"/>
  <c r="AC48" i="1"/>
  <c r="Q48" i="1"/>
  <c r="AC47" i="1"/>
  <c r="Q47" i="1"/>
  <c r="AD46" i="1"/>
  <c r="F46" i="1"/>
  <c r="AD45" i="1"/>
  <c r="F45" i="1"/>
  <c r="AD44" i="1"/>
  <c r="F44" i="1"/>
  <c r="AD43" i="1"/>
  <c r="F43" i="1"/>
  <c r="AH42" i="1"/>
  <c r="AD42" i="1"/>
  <c r="AC41" i="1"/>
  <c r="AC40" i="1"/>
  <c r="AC39" i="1"/>
  <c r="AC38" i="1"/>
  <c r="AC37" i="1"/>
  <c r="AC36" i="1"/>
  <c r="H36" i="1"/>
  <c r="AC35" i="1"/>
  <c r="H35" i="1"/>
  <c r="AC34" i="1"/>
  <c r="H34" i="1"/>
  <c r="AC33" i="1"/>
  <c r="H33" i="1"/>
  <c r="AC32" i="1"/>
  <c r="H32" i="1"/>
  <c r="AC26" i="1"/>
  <c r="AC25" i="1"/>
  <c r="AC24" i="1"/>
  <c r="AC23" i="1"/>
  <c r="AC22" i="1"/>
  <c r="AD21" i="1"/>
  <c r="AD20" i="1"/>
  <c r="AD19" i="1"/>
  <c r="AD18" i="1"/>
  <c r="AC16" i="1"/>
  <c r="AD16" i="1" s="1"/>
  <c r="AC15" i="1"/>
  <c r="AD15" i="1" s="1"/>
  <c r="AD14" i="1"/>
  <c r="AR13" i="1"/>
  <c r="AK13" i="1"/>
  <c r="AG13" i="1"/>
  <c r="AC13" i="1"/>
  <c r="AD13" i="1" s="1"/>
  <c r="Q13" i="1"/>
  <c r="AS12" i="1"/>
  <c r="AR12" i="1"/>
  <c r="AP12" i="1"/>
  <c r="AO12" i="1"/>
  <c r="AN12" i="1"/>
  <c r="AM12" i="1"/>
  <c r="AL12" i="1"/>
  <c r="AK12" i="1"/>
  <c r="AJ12" i="1"/>
  <c r="AI12" i="1"/>
  <c r="AH12" i="1"/>
  <c r="AG12" i="1"/>
  <c r="AC12" i="1"/>
  <c r="AD12" i="1" s="1"/>
  <c r="Q12" i="1"/>
  <c r="H12" i="1"/>
  <c r="F12" i="1"/>
  <c r="AD11" i="1"/>
  <c r="AD10" i="1"/>
  <c r="AD9" i="1"/>
  <c r="AD8" i="1"/>
  <c r="AD7" i="1"/>
  <c r="AD6" i="1"/>
  <c r="AD5" i="1"/>
  <c r="AD4" i="1"/>
  <c r="AD3" i="1"/>
  <c r="AD2" i="1"/>
</calcChain>
</file>

<file path=xl/sharedStrings.xml><?xml version="1.0" encoding="utf-8"?>
<sst xmlns="http://schemas.openxmlformats.org/spreadsheetml/2006/main" count="322" uniqueCount="140">
  <si>
    <t>No.</t>
  </si>
  <si>
    <t>Company</t>
  </si>
  <si>
    <t>StockCode</t>
  </si>
  <si>
    <t>YearEnd</t>
  </si>
  <si>
    <t>Industry</t>
  </si>
  <si>
    <t>Managerial/Inside ownership</t>
  </si>
  <si>
    <t>State ownership</t>
  </si>
  <si>
    <t>Institutional ownership</t>
  </si>
  <si>
    <t>Foreign ownership</t>
  </si>
  <si>
    <t>Total share outstanding</t>
  </si>
  <si>
    <t>Total sales revenue</t>
  </si>
  <si>
    <t>Net sales revenue</t>
  </si>
  <si>
    <t>Total assets</t>
  </si>
  <si>
    <t>Selling expenses</t>
  </si>
  <si>
    <t xml:space="preserve">General and administrative expenditure </t>
  </si>
  <si>
    <t>Value of intangible assets</t>
  </si>
  <si>
    <t>Manufacturing overhead (Indirect cost)</t>
  </si>
  <si>
    <t>Net operating income</t>
  </si>
  <si>
    <t>Consumption of raw material</t>
  </si>
  <si>
    <t>R&amp;D expenditure</t>
  </si>
  <si>
    <t>Merchandise purchase of the year</t>
  </si>
  <si>
    <t>Work-in-progess goods purchase</t>
  </si>
  <si>
    <t>Outside manufacturing expenses</t>
  </si>
  <si>
    <t>Production cost</t>
  </si>
  <si>
    <t>Product innovation</t>
  </si>
  <si>
    <t>Process innovation</t>
  </si>
  <si>
    <t>Net Income</t>
  </si>
  <si>
    <t>Total shareholders' equity</t>
  </si>
  <si>
    <t>Market value of equity</t>
  </si>
  <si>
    <t>Share price</t>
  </si>
  <si>
    <t>Total liabilities</t>
  </si>
  <si>
    <t>Net cash from operating activities</t>
  </si>
  <si>
    <t>Capital expenditure</t>
  </si>
  <si>
    <t>Cash flows from investing activities</t>
  </si>
  <si>
    <t>Cash and cash equivalent</t>
  </si>
  <si>
    <t>Long-term debt</t>
  </si>
  <si>
    <t>Current assets</t>
  </si>
  <si>
    <t>Current liabiltiies</t>
  </si>
  <si>
    <t>Growth ratio</t>
  </si>
  <si>
    <t>Total inventory</t>
  </si>
  <si>
    <t>Divident payment</t>
  </si>
  <si>
    <t>EPS</t>
  </si>
  <si>
    <t>Number of employees</t>
  </si>
  <si>
    <t>Net plant, property and equipment</t>
  </si>
  <si>
    <t>Firm age</t>
  </si>
  <si>
    <t>Viettel Post Joint Stock Corporation</t>
  </si>
  <si>
    <t>VTP</t>
  </si>
  <si>
    <t>Transportation</t>
  </si>
  <si>
    <t>6,384.849,222,298</t>
  </si>
  <si>
    <t>Petrolimex Petrochemical Corporation - JSC</t>
  </si>
  <si>
    <t>PLC</t>
  </si>
  <si>
    <t>Materials</t>
  </si>
  <si>
    <t>32.384.541.871</t>
  </si>
  <si>
    <t>Ha Tay Pharmaceutical Joint Stock Company</t>
  </si>
  <si>
    <t>DHT</t>
  </si>
  <si>
    <t>Pharma., Bio. &amp; Life Sciences</t>
  </si>
  <si>
    <t>An Cuong Wood - Working Joint Stock Company</t>
  </si>
  <si>
    <t>ACG</t>
  </si>
  <si>
    <t>-</t>
  </si>
  <si>
    <t>Rang Dong Light Source and Vacuum Flask Joint Stock Company</t>
  </si>
  <si>
    <t>RAL</t>
  </si>
  <si>
    <t>Capital Goods</t>
  </si>
  <si>
    <t>Sao Vang Rubber Joint Stock Company</t>
  </si>
  <si>
    <t>SRC</t>
  </si>
  <si>
    <t>Automobiles &amp; Components</t>
  </si>
  <si>
    <t>56.111.626.139</t>
  </si>
  <si>
    <t>Transimex Corporation</t>
  </si>
  <si>
    <t>TMS</t>
  </si>
  <si>
    <t>159.649.122.560</t>
  </si>
  <si>
    <t>Viettel Construction Joint Stock Corporation</t>
  </si>
  <si>
    <t>CTR</t>
  </si>
  <si>
    <t>Telecommunication</t>
  </si>
  <si>
    <t>Son La Sugar Joint Stock Company</t>
  </si>
  <si>
    <t>SLS</t>
  </si>
  <si>
    <t>Food, Bev. &amp; Tobacco</t>
  </si>
  <si>
    <t>4.721.20.204</t>
  </si>
  <si>
    <t>4.633.898.616</t>
  </si>
  <si>
    <t>28,798.925,586</t>
  </si>
  <si>
    <t>Pharmedic Pharmaceutical Medicinal Joint Stock Company</t>
  </si>
  <si>
    <t>PMC</t>
  </si>
  <si>
    <t>Index</t>
  </si>
  <si>
    <t>Ghi chú</t>
  </si>
  <si>
    <t>Fraction of share owned by BOD/manager</t>
  </si>
  <si>
    <t>FiinPro, Vietstock, public sources</t>
  </si>
  <si>
    <t>Fraction of share owned by the government</t>
  </si>
  <si>
    <t>Fraction of share owned by domestic institutional investors</t>
  </si>
  <si>
    <t>Fraction of share owned by foreign investors</t>
  </si>
  <si>
    <t>Total number of shares issued by the company</t>
  </si>
  <si>
    <t>FiinPro, Vietstock, BCTC phần equity</t>
  </si>
  <si>
    <t>Total sales revenue and Net sales revenue</t>
  </si>
  <si>
    <t>Doanh thu trong nam cua doanh nghiep/Doanh thu thuan</t>
  </si>
  <si>
    <t>Profit and Loss statement, Note BCTC</t>
  </si>
  <si>
    <t>Gia tri so sach cua tong tai san</t>
  </si>
  <si>
    <t>Balance sheet</t>
  </si>
  <si>
    <t>Chi phi ban hang cua doanh nghiep</t>
  </si>
  <si>
    <t>Note BCTC</t>
  </si>
  <si>
    <t>Chi phi quan tri cua doanh nghiep</t>
  </si>
  <si>
    <t>Gia tri so sach cua tai san vo hinh</t>
  </si>
  <si>
    <t>Balance sheet/Note BCTC</t>
  </si>
  <si>
    <t xml:space="preserve">Total factory costs – Direct materials – Direct labor </t>
  </si>
  <si>
    <t>Income generated from operating activites before tax and depreciation</t>
  </si>
  <si>
    <t>Profit and Loss statement</t>
  </si>
  <si>
    <t>Chi phi nguyen vat lieu su dung trong san xuat</t>
  </si>
  <si>
    <t>Note BCTC (production cost)</t>
  </si>
  <si>
    <t>Hang hoa da mua trong nam</t>
  </si>
  <si>
    <t>Note BCTC (inventory)</t>
  </si>
  <si>
    <t>Hang hoa da mua con dang do</t>
  </si>
  <si>
    <t>Chi phí gia công/thuê sản xuất bên ngoài</t>
  </si>
  <si>
    <t>Tong chi phi san xuat (SUM ca 5 yeu to material + staff + outside service+other+depreciation)</t>
  </si>
  <si>
    <t>Note BCTC trong phần production cost by element</t>
  </si>
  <si>
    <t>Chi phi nghien cuu va phat trien</t>
  </si>
  <si>
    <t>World Bank</t>
  </si>
  <si>
    <t>Doanh nghiep co cong bo san pham moi hay khong (dummy 0/1)</t>
  </si>
  <si>
    <t>Doanh nghiep co quy trinh san xuat moi hay khong (dummy 0/1)</t>
  </si>
  <si>
    <t>Loi nhuan thuan tu hoat dong kinh doanh</t>
  </si>
  <si>
    <t>Gia tri so sach cua von chu so huu</t>
  </si>
  <si>
    <t>Share market price * number of share outstanding: gia thi truong cua von chu so huu</t>
  </si>
  <si>
    <t>FiinPro, Vietstock, public sources (chỉ số tài chính)</t>
  </si>
  <si>
    <t>Tong no cua doanh nghiep trong nam</t>
  </si>
  <si>
    <t>Dong tien tu hoat dong kinh doanh</t>
  </si>
  <si>
    <t>Cash flow statement</t>
  </si>
  <si>
    <t>chi phí vốn hoặc chi phí tài sản cố định</t>
  </si>
  <si>
    <t>Note BCTC, Balance sheet</t>
  </si>
  <si>
    <t>dong tien tu hoat dong dau tu tai san dai han</t>
  </si>
  <si>
    <t>Tien va gia tri tuong duong tien</t>
  </si>
  <si>
    <t>Balance sheet/Cash flow statement</t>
  </si>
  <si>
    <t>No dai han cua doanh nghiep (&gt;1 nam)</t>
  </si>
  <si>
    <t>Tai san ngan han</t>
  </si>
  <si>
    <t>No ngan han</t>
  </si>
  <si>
    <t>Chi so tang truong so voi nam ngoai</t>
  </si>
  <si>
    <t>Tong gia tri hang hoa cua doanh nghiep (nam trong tai san ngan han)</t>
  </si>
  <si>
    <t>Co tuc duoc chia cho co dong</t>
  </si>
  <si>
    <t>Cashflow, balance sheet, Note BCTC</t>
  </si>
  <si>
    <t>Loi nhuan tren moi co phieu</t>
  </si>
  <si>
    <t>So luong nhan vien cua doanh nghiep</t>
  </si>
  <si>
    <t xml:space="preserve">Annual report, public sources </t>
  </si>
  <si>
    <t>Trang thiet bi may moc cua doanh nghiep</t>
  </si>
  <si>
    <t>So nam ke tu khi doanh nghiep thanh lap</t>
  </si>
  <si>
    <r>
      <rPr>
        <b/>
        <sz val="14"/>
        <color theme="4"/>
        <rFont val="Times New Roman"/>
      </rPr>
      <t>Phần mềm phân tích</t>
    </r>
    <r>
      <rPr>
        <b/>
        <sz val="12"/>
        <color theme="1"/>
        <rFont val="Times New Roman"/>
      </rPr>
      <t xml:space="preserve">: </t>
    </r>
    <r>
      <rPr>
        <b/>
        <sz val="14"/>
        <color theme="1"/>
        <rFont val="Times New Roman"/>
      </rPr>
      <t>PLS or AMOS</t>
    </r>
  </si>
  <si>
    <t>General and administrative expenditure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</si>
</sst>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\(#,##0\)"/>
    <numFmt numFmtId="165" formatCode="#,##0.00;\(#,##0.00\)"/>
  </numFmts>
  <fonts count="7" x14ac:knownFonts="1">
    <font>
      <sz val="12"/>
      <color theme="1"/>
      <name val="Times New Roman"/>
      <scheme val="minor"/>
    </font>
    <font>
      <sz val="12"/>
      <color theme="1"/>
      <name val="Times New Roman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2"/>
      <name val="Times New Roman"/>
    </font>
    <font>
      <b/>
      <sz val="14"/>
      <color theme="4"/>
      <name val="Times New Roman"/>
    </font>
    <font>
      <b/>
      <sz val="14"/>
      <color theme="1"/>
      <name val="Times New Roman"/>
    </font>
  </fonts>
  <fills count="1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EAD1DC"/>
        <bgColor rgb="FFEAD1DC"/>
      </patternFill>
    </fill>
    <fill>
      <patternFill patternType="solid">
        <fgColor rgb="FFFFF2CC"/>
        <bgColor rgb="FFFFF2CC"/>
      </patternFill>
    </fill>
    <fill>
      <patternFill patternType="solid">
        <fgColor rgb="FFFCE5CD"/>
        <bgColor rgb="FFFCE5CD"/>
      </patternFill>
    </fill>
    <fill>
      <patternFill patternType="solid">
        <fgColor rgb="FFFFFF00"/>
        <bgColor rgb="FFFFFF00"/>
      </patternFill>
    </fill>
    <fill>
      <patternFill patternType="solid">
        <fgColor theme="9" tint="0.79998168889431442"/>
        <bgColor rgb="FFD9EAD3"/>
      </patternFill>
    </fill>
    <fill>
      <patternFill patternType="solid">
        <fgColor theme="9" tint="0.79998168889431442"/>
        <bgColor rgb="FFEAD1DC"/>
      </patternFill>
    </fill>
    <fill>
      <patternFill patternType="solid">
        <fgColor rgb="FFEAD1DC"/>
        <bgColor rgb="FFFFF2CC"/>
      </patternFill>
    </fill>
    <fill>
      <patternFill patternType="solid">
        <fgColor theme="9" tint="0.79998168889431442"/>
        <bgColor rgb="FFFCE5CD"/>
      </patternFill>
    </fill>
    <fill>
      <patternFill patternType="solid">
        <fgColor rgb="FFEAD1DC"/>
        <bgColor rgb="FFD9EAD3"/>
      </patternFill>
    </fill>
    <fill>
      <patternFill patternType="solid">
        <fgColor theme="5" tint="0.79998168889431442"/>
        <bgColor rgb="FFD9EAD3"/>
      </patternFill>
    </fill>
    <fill>
      <patternFill patternType="solid">
        <fgColor theme="5" tint="0.79998168889431442"/>
        <bgColor rgb="FFEAD1DC"/>
      </patternFill>
    </fill>
    <fill>
      <patternFill patternType="solid">
        <fgColor theme="9" tint="0.79998168889431442"/>
        <bgColor rgb="FFFFF2CC"/>
      </patternFill>
    </fill>
    <fill>
      <patternFill patternType="solid">
        <fgColor rgb="FFEAD1DC"/>
        <bgColor rgb="FFFCE5CD"/>
      </patternFill>
    </fill>
    <fill>
      <patternFill patternType="solid">
        <fgColor rgb="FFFFF2CC"/>
        <bgColor rgb="FFFCE5C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3" fontId="1" fillId="0" borderId="0" xfId="0" applyNumberFormat="1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4" fontId="2" fillId="2" borderId="1" xfId="0" applyNumberFormat="1" applyFont="1" applyFill="1" applyBorder="1" applyAlignment="1">
      <alignment horizontal="left" vertical="center" wrapText="1"/>
    </xf>
    <xf numFmtId="3" fontId="2" fillId="2" borderId="1" xfId="0" applyNumberFormat="1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horizontal="left"/>
    </xf>
    <xf numFmtId="10" fontId="3" fillId="3" borderId="1" xfId="0" applyNumberFormat="1" applyFont="1" applyFill="1" applyBorder="1" applyAlignment="1">
      <alignment horizontal="left"/>
    </xf>
    <xf numFmtId="3" fontId="3" fillId="3" borderId="1" xfId="0" applyNumberFormat="1" applyFont="1" applyFill="1" applyBorder="1" applyAlignment="1">
      <alignment horizontal="left"/>
    </xf>
    <xf numFmtId="3" fontId="3" fillId="4" borderId="1" xfId="0" applyNumberFormat="1" applyFont="1" applyFill="1" applyBorder="1" applyAlignment="1">
      <alignment horizontal="left"/>
    </xf>
    <xf numFmtId="164" fontId="3" fillId="4" borderId="1" xfId="0" applyNumberFormat="1" applyFont="1" applyFill="1" applyBorder="1" applyAlignment="1">
      <alignment horizontal="left"/>
    </xf>
    <xf numFmtId="164" fontId="3" fillId="3" borderId="1" xfId="0" applyNumberFormat="1" applyFont="1" applyFill="1" applyBorder="1" applyAlignment="1">
      <alignment horizontal="left"/>
    </xf>
    <xf numFmtId="4" fontId="3" fillId="3" borderId="1" xfId="0" applyNumberFormat="1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3" fontId="3" fillId="5" borderId="1" xfId="0" applyNumberFormat="1" applyFont="1" applyFill="1" applyBorder="1" applyAlignment="1">
      <alignment horizontal="left"/>
    </xf>
    <xf numFmtId="0" fontId="3" fillId="4" borderId="1" xfId="0" applyFont="1" applyFill="1" applyBorder="1"/>
    <xf numFmtId="10" fontId="3" fillId="4" borderId="1" xfId="0" applyNumberFormat="1" applyFont="1" applyFill="1" applyBorder="1" applyAlignment="1">
      <alignment horizontal="left"/>
    </xf>
    <xf numFmtId="4" fontId="3" fillId="4" borderId="1" xfId="0" applyNumberFormat="1" applyFont="1" applyFill="1" applyBorder="1" applyAlignment="1">
      <alignment horizontal="left"/>
    </xf>
    <xf numFmtId="0" fontId="3" fillId="4" borderId="1" xfId="0" applyFont="1" applyFill="1" applyBorder="1" applyAlignment="1">
      <alignment horizontal="right"/>
    </xf>
    <xf numFmtId="0" fontId="3" fillId="5" borderId="1" xfId="0" applyFont="1" applyFill="1" applyBorder="1"/>
    <xf numFmtId="0" fontId="3" fillId="5" borderId="1" xfId="0" applyFont="1" applyFill="1" applyBorder="1" applyAlignment="1">
      <alignment horizontal="left"/>
    </xf>
    <xf numFmtId="10" fontId="3" fillId="5" borderId="1" xfId="0" applyNumberFormat="1" applyFont="1" applyFill="1" applyBorder="1" applyAlignment="1">
      <alignment horizontal="left"/>
    </xf>
    <xf numFmtId="9" fontId="3" fillId="5" borderId="1" xfId="0" applyNumberFormat="1" applyFont="1" applyFill="1" applyBorder="1" applyAlignment="1">
      <alignment horizontal="left"/>
    </xf>
    <xf numFmtId="164" fontId="3" fillId="5" borderId="1" xfId="0" applyNumberFormat="1" applyFont="1" applyFill="1" applyBorder="1" applyAlignment="1">
      <alignment horizontal="left"/>
    </xf>
    <xf numFmtId="4" fontId="3" fillId="5" borderId="1" xfId="0" applyNumberFormat="1" applyFont="1" applyFill="1" applyBorder="1" applyAlignment="1">
      <alignment horizontal="left"/>
    </xf>
    <xf numFmtId="0" fontId="3" fillId="0" borderId="1" xfId="0" applyFont="1" applyBorder="1"/>
    <xf numFmtId="3" fontId="3" fillId="0" borderId="1" xfId="0" applyNumberFormat="1" applyFont="1" applyBorder="1" applyAlignment="1">
      <alignment horizontal="left"/>
    </xf>
    <xf numFmtId="3" fontId="3" fillId="0" borderId="1" xfId="0" applyNumberFormat="1" applyFont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6" borderId="6" xfId="0" applyFont="1" applyFill="1" applyBorder="1" applyAlignment="1">
      <alignment horizontal="left"/>
    </xf>
    <xf numFmtId="0" fontId="3" fillId="0" borderId="2" xfId="0" applyFont="1" applyBorder="1"/>
    <xf numFmtId="0" fontId="2" fillId="6" borderId="1" xfId="0" applyFont="1" applyFill="1" applyBorder="1" applyAlignment="1">
      <alignment horizontal="left"/>
    </xf>
    <xf numFmtId="0" fontId="2" fillId="6" borderId="7" xfId="0" applyFont="1" applyFill="1" applyBorder="1"/>
    <xf numFmtId="0" fontId="2" fillId="0" borderId="1" xfId="0" applyFont="1" applyBorder="1" applyAlignment="1">
      <alignment horizontal="left"/>
    </xf>
    <xf numFmtId="0" fontId="2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/>
    <xf numFmtId="0" fontId="3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4" xfId="0" applyFont="1" applyBorder="1"/>
    <xf numFmtId="0" fontId="4" fillId="0" borderId="5" xfId="0" applyFont="1" applyBorder="1"/>
    <xf numFmtId="0" fontId="2" fillId="0" borderId="3" xfId="0" applyFont="1" applyBorder="1" applyAlignment="1">
      <alignment horizontal="left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left"/>
    </xf>
    <xf numFmtId="10" fontId="3" fillId="7" borderId="1" xfId="0" applyNumberFormat="1" applyFont="1" applyFill="1" applyBorder="1" applyAlignment="1">
      <alignment horizontal="left"/>
    </xf>
    <xf numFmtId="9" fontId="3" fillId="7" borderId="1" xfId="0" applyNumberFormat="1" applyFont="1" applyFill="1" applyBorder="1" applyAlignment="1">
      <alignment horizontal="left"/>
    </xf>
    <xf numFmtId="164" fontId="3" fillId="8" borderId="1" xfId="0" applyNumberFormat="1" applyFont="1" applyFill="1" applyBorder="1" applyAlignment="1">
      <alignment horizontal="left"/>
    </xf>
    <xf numFmtId="164" fontId="3" fillId="7" borderId="1" xfId="0" applyNumberFormat="1" applyFont="1" applyFill="1" applyBorder="1" applyAlignment="1">
      <alignment horizontal="left"/>
    </xf>
    <xf numFmtId="165" fontId="3" fillId="7" borderId="1" xfId="0" applyNumberFormat="1" applyFont="1" applyFill="1" applyBorder="1" applyAlignment="1">
      <alignment horizontal="left"/>
    </xf>
    <xf numFmtId="3" fontId="3" fillId="7" borderId="1" xfId="0" applyNumberFormat="1" applyFont="1" applyFill="1" applyBorder="1" applyAlignment="1">
      <alignment horizontal="left"/>
    </xf>
    <xf numFmtId="4" fontId="3" fillId="7" borderId="1" xfId="0" applyNumberFormat="1" applyFont="1" applyFill="1" applyBorder="1" applyAlignment="1">
      <alignment horizontal="left"/>
    </xf>
    <xf numFmtId="10" fontId="3" fillId="8" borderId="1" xfId="0" applyNumberFormat="1" applyFont="1" applyFill="1" applyBorder="1" applyAlignment="1">
      <alignment horizontal="left"/>
    </xf>
    <xf numFmtId="0" fontId="3" fillId="8" borderId="1" xfId="0" applyFont="1" applyFill="1" applyBorder="1"/>
    <xf numFmtId="0" fontId="3" fillId="8" borderId="1" xfId="0" applyFont="1" applyFill="1" applyBorder="1" applyAlignment="1">
      <alignment horizontal="left"/>
    </xf>
    <xf numFmtId="165" fontId="3" fillId="8" borderId="1" xfId="0" applyNumberFormat="1" applyFont="1" applyFill="1" applyBorder="1" applyAlignment="1">
      <alignment horizontal="left"/>
    </xf>
    <xf numFmtId="3" fontId="3" fillId="8" borderId="1" xfId="0" applyNumberFormat="1" applyFont="1" applyFill="1" applyBorder="1" applyAlignment="1">
      <alignment horizontal="left"/>
    </xf>
    <xf numFmtId="4" fontId="3" fillId="8" borderId="1" xfId="0" applyNumberFormat="1" applyFont="1" applyFill="1" applyBorder="1" applyAlignment="1">
      <alignment horizontal="left"/>
    </xf>
    <xf numFmtId="3" fontId="3" fillId="9" borderId="1" xfId="0" applyNumberFormat="1" applyFont="1" applyFill="1" applyBorder="1" applyAlignment="1">
      <alignment horizontal="left"/>
    </xf>
    <xf numFmtId="164" fontId="3" fillId="9" borderId="1" xfId="0" applyNumberFormat="1" applyFont="1" applyFill="1" applyBorder="1" applyAlignment="1">
      <alignment horizontal="left"/>
    </xf>
    <xf numFmtId="0" fontId="3" fillId="9" borderId="1" xfId="0" applyFont="1" applyFill="1" applyBorder="1" applyAlignment="1">
      <alignment horizontal="left"/>
    </xf>
    <xf numFmtId="9" fontId="3" fillId="8" borderId="1" xfId="0" applyNumberFormat="1" applyFont="1" applyFill="1" applyBorder="1" applyAlignment="1">
      <alignment horizontal="left"/>
    </xf>
    <xf numFmtId="3" fontId="3" fillId="10" borderId="1" xfId="0" applyNumberFormat="1" applyFont="1" applyFill="1" applyBorder="1" applyAlignment="1">
      <alignment horizontal="left"/>
    </xf>
    <xf numFmtId="0" fontId="3" fillId="11" borderId="1" xfId="0" applyFont="1" applyFill="1" applyBorder="1"/>
    <xf numFmtId="0" fontId="3" fillId="11" borderId="1" xfId="0" applyFont="1" applyFill="1" applyBorder="1" applyAlignment="1">
      <alignment horizontal="left"/>
    </xf>
    <xf numFmtId="10" fontId="3" fillId="11" borderId="1" xfId="0" applyNumberFormat="1" applyFont="1" applyFill="1" applyBorder="1" applyAlignment="1">
      <alignment horizontal="left"/>
    </xf>
    <xf numFmtId="164" fontId="3" fillId="11" borderId="1" xfId="0" applyNumberFormat="1" applyFont="1" applyFill="1" applyBorder="1" applyAlignment="1">
      <alignment horizontal="left"/>
    </xf>
    <xf numFmtId="3" fontId="3" fillId="11" borderId="1" xfId="0" applyNumberFormat="1" applyFont="1" applyFill="1" applyBorder="1" applyAlignment="1">
      <alignment horizontal="left"/>
    </xf>
    <xf numFmtId="4" fontId="3" fillId="11" borderId="1" xfId="0" applyNumberFormat="1" applyFont="1" applyFill="1" applyBorder="1" applyAlignment="1">
      <alignment horizontal="left"/>
    </xf>
    <xf numFmtId="0" fontId="3" fillId="12" borderId="1" xfId="0" applyFont="1" applyFill="1" applyBorder="1"/>
    <xf numFmtId="0" fontId="3" fillId="12" borderId="1" xfId="0" applyFont="1" applyFill="1" applyBorder="1" applyAlignment="1">
      <alignment horizontal="left"/>
    </xf>
    <xf numFmtId="10" fontId="3" fillId="12" borderId="1" xfId="0" applyNumberFormat="1" applyFont="1" applyFill="1" applyBorder="1" applyAlignment="1">
      <alignment horizontal="left"/>
    </xf>
    <xf numFmtId="164" fontId="3" fillId="12" borderId="1" xfId="0" applyNumberFormat="1" applyFont="1" applyFill="1" applyBorder="1" applyAlignment="1">
      <alignment horizontal="left"/>
    </xf>
    <xf numFmtId="3" fontId="3" fillId="12" borderId="1" xfId="0" applyNumberFormat="1" applyFont="1" applyFill="1" applyBorder="1" applyAlignment="1">
      <alignment horizontal="left"/>
    </xf>
    <xf numFmtId="3" fontId="3" fillId="13" borderId="1" xfId="0" applyNumberFormat="1" applyFont="1" applyFill="1" applyBorder="1" applyAlignment="1">
      <alignment horizontal="left"/>
    </xf>
    <xf numFmtId="4" fontId="3" fillId="12" borderId="1" xfId="0" applyNumberFormat="1" applyFont="1" applyFill="1" applyBorder="1" applyAlignment="1">
      <alignment horizontal="left"/>
    </xf>
    <xf numFmtId="164" fontId="1" fillId="11" borderId="0" xfId="0" applyNumberFormat="1" applyFont="1" applyFill="1" applyAlignment="1">
      <alignment horizontal="left"/>
    </xf>
    <xf numFmtId="9" fontId="3" fillId="11" borderId="1" xfId="0" applyNumberFormat="1" applyFont="1" applyFill="1" applyBorder="1" applyAlignment="1">
      <alignment horizontal="left"/>
    </xf>
    <xf numFmtId="0" fontId="3" fillId="14" borderId="1" xfId="0" applyFont="1" applyFill="1" applyBorder="1"/>
    <xf numFmtId="0" fontId="3" fillId="14" borderId="1" xfId="0" applyFont="1" applyFill="1" applyBorder="1" applyAlignment="1">
      <alignment horizontal="left"/>
    </xf>
    <xf numFmtId="10" fontId="3" fillId="14" borderId="1" xfId="0" applyNumberFormat="1" applyFont="1" applyFill="1" applyBorder="1" applyAlignment="1">
      <alignment horizontal="left"/>
    </xf>
    <xf numFmtId="3" fontId="3" fillId="14" borderId="1" xfId="0" applyNumberFormat="1" applyFont="1" applyFill="1" applyBorder="1" applyAlignment="1">
      <alignment horizontal="left"/>
    </xf>
    <xf numFmtId="4" fontId="3" fillId="14" borderId="1" xfId="0" applyNumberFormat="1" applyFont="1" applyFill="1" applyBorder="1" applyAlignment="1">
      <alignment horizontal="left"/>
    </xf>
    <xf numFmtId="164" fontId="3" fillId="14" borderId="1" xfId="0" applyNumberFormat="1" applyFont="1" applyFill="1" applyBorder="1" applyAlignment="1">
      <alignment horizontal="left"/>
    </xf>
    <xf numFmtId="0" fontId="3" fillId="15" borderId="1" xfId="0" applyFont="1" applyFill="1" applyBorder="1"/>
    <xf numFmtId="0" fontId="3" fillId="15" borderId="1" xfId="0" applyFont="1" applyFill="1" applyBorder="1" applyAlignment="1">
      <alignment horizontal="left"/>
    </xf>
    <xf numFmtId="10" fontId="3" fillId="15" borderId="1" xfId="0" applyNumberFormat="1" applyFont="1" applyFill="1" applyBorder="1" applyAlignment="1">
      <alignment horizontal="left"/>
    </xf>
    <xf numFmtId="9" fontId="3" fillId="15" borderId="1" xfId="0" applyNumberFormat="1" applyFont="1" applyFill="1" applyBorder="1" applyAlignment="1">
      <alignment horizontal="left"/>
    </xf>
    <xf numFmtId="164" fontId="3" fillId="15" borderId="1" xfId="0" applyNumberFormat="1" applyFont="1" applyFill="1" applyBorder="1" applyAlignment="1">
      <alignment horizontal="left"/>
    </xf>
    <xf numFmtId="3" fontId="3" fillId="15" borderId="1" xfId="0" applyNumberFormat="1" applyFont="1" applyFill="1" applyBorder="1" applyAlignment="1">
      <alignment horizontal="left"/>
    </xf>
    <xf numFmtId="4" fontId="3" fillId="15" borderId="1" xfId="0" applyNumberFormat="1" applyFont="1" applyFill="1" applyBorder="1" applyAlignment="1">
      <alignment horizontal="left"/>
    </xf>
    <xf numFmtId="0" fontId="3" fillId="15" borderId="1" xfId="0" applyFont="1" applyFill="1" applyBorder="1" applyAlignment="1">
      <alignment horizontal="right"/>
    </xf>
    <xf numFmtId="0" fontId="3" fillId="16" borderId="1" xfId="0" applyFont="1" applyFill="1" applyBorder="1"/>
    <xf numFmtId="0" fontId="3" fillId="16" borderId="1" xfId="0" applyFont="1" applyFill="1" applyBorder="1" applyAlignment="1">
      <alignment horizontal="left"/>
    </xf>
    <xf numFmtId="10" fontId="3" fillId="16" borderId="1" xfId="0" applyNumberFormat="1" applyFont="1" applyFill="1" applyBorder="1" applyAlignment="1">
      <alignment horizontal="left"/>
    </xf>
    <xf numFmtId="164" fontId="3" fillId="16" borderId="1" xfId="0" applyNumberFormat="1" applyFont="1" applyFill="1" applyBorder="1" applyAlignment="1">
      <alignment horizontal="left"/>
    </xf>
    <xf numFmtId="165" fontId="3" fillId="16" borderId="1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2CC"/>
      <color rgb="FFEAD1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998"/>
  <sheetViews>
    <sheetView tabSelected="1" workbookViewId="0">
      <pane ySplit="1" topLeftCell="A34" activePane="bottomLeft" state="frozen"/>
      <selection pane="bottomLeft" activeCell="F11" sqref="F11"/>
    </sheetView>
  </sheetViews>
  <sheetFormatPr defaultColWidth="11.19921875" defaultRowHeight="15" customHeight="1" x14ac:dyDescent="0.3"/>
  <cols>
    <col min="1" max="1" width="5.296875" customWidth="1"/>
    <col min="2" max="2" width="55" customWidth="1"/>
    <col min="3" max="3" width="10.59765625" customWidth="1"/>
    <col min="4" max="4" width="9.59765625" customWidth="1"/>
    <col min="5" max="5" width="29.8984375" customWidth="1"/>
    <col min="6" max="6" width="26.09765625" customWidth="1"/>
    <col min="7" max="7" width="14.3984375" customWidth="1"/>
    <col min="8" max="8" width="20.796875" customWidth="1"/>
    <col min="9" max="9" width="17" customWidth="1"/>
    <col min="10" max="11" width="21.09765625" customWidth="1"/>
    <col min="12" max="12" width="17.59765625" customWidth="1"/>
    <col min="13" max="13" width="17.296875" customWidth="1"/>
    <col min="14" max="14" width="18.09765625" customWidth="1"/>
    <col min="15" max="15" width="25.59765625" customWidth="1"/>
    <col min="16" max="16" width="23" customWidth="1"/>
    <col min="17" max="17" width="24.3984375" customWidth="1"/>
    <col min="18" max="18" width="19.3984375" customWidth="1"/>
    <col min="19" max="19" width="17.59765625" customWidth="1"/>
    <col min="20" max="20" width="17.296875" customWidth="1"/>
    <col min="21" max="21" width="22.69921875" customWidth="1"/>
    <col min="22" max="22" width="16.69921875" customWidth="1"/>
    <col min="23" max="23" width="21.19921875" customWidth="1"/>
    <col min="24" max="24" width="19.69921875" customWidth="1"/>
    <col min="25" max="25" width="23" customWidth="1"/>
    <col min="26" max="26" width="17.09765625" customWidth="1"/>
    <col min="27" max="27" width="19.3984375" customWidth="1"/>
    <col min="28" max="28" width="26.09765625" customWidth="1"/>
    <col min="29" max="29" width="31.09765625" customWidth="1"/>
    <col min="30" max="33" width="31.3984375" customWidth="1"/>
    <col min="34" max="35" width="20.69921875" customWidth="1"/>
    <col min="36" max="36" width="17.296875" customWidth="1"/>
    <col min="37" max="37" width="18.3984375" customWidth="1"/>
    <col min="38" max="38" width="16.8984375" customWidth="1"/>
    <col min="39" max="39" width="14.796875" customWidth="1"/>
    <col min="40" max="40" width="18.69921875" customWidth="1"/>
    <col min="41" max="41" width="19" customWidth="1"/>
    <col min="42" max="42" width="8.8984375" bestFit="1" customWidth="1"/>
    <col min="43" max="43" width="16.19921875" customWidth="1"/>
    <col min="44" max="44" width="19.5" customWidth="1"/>
    <col min="45" max="47" width="8.59765625" customWidth="1"/>
  </cols>
  <sheetData>
    <row r="1" spans="1:47" ht="32.4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139</v>
      </c>
      <c r="P1" s="4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5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6" t="s">
        <v>38</v>
      </c>
      <c r="AN1" s="6" t="s">
        <v>39</v>
      </c>
      <c r="AO1" s="6" t="s">
        <v>40</v>
      </c>
      <c r="AP1" s="6" t="s">
        <v>41</v>
      </c>
      <c r="AQ1" s="6" t="s">
        <v>42</v>
      </c>
      <c r="AR1" s="7" t="s">
        <v>43</v>
      </c>
      <c r="AS1" s="6" t="s">
        <v>44</v>
      </c>
      <c r="AT1" s="8"/>
      <c r="AU1" s="8"/>
    </row>
    <row r="2" spans="1:47" ht="15" customHeight="1" x14ac:dyDescent="0.3">
      <c r="A2" s="9">
        <v>1</v>
      </c>
      <c r="B2" s="9" t="s">
        <v>45</v>
      </c>
      <c r="C2" s="9" t="s">
        <v>46</v>
      </c>
      <c r="D2" s="9">
        <v>2020</v>
      </c>
      <c r="E2" s="10" t="s">
        <v>47</v>
      </c>
      <c r="F2" s="11">
        <v>6.4000000000000003E-3</v>
      </c>
      <c r="G2" s="11">
        <v>0.60809999999999997</v>
      </c>
      <c r="H2" s="11">
        <v>0.88970000000000005</v>
      </c>
      <c r="I2" s="11">
        <v>0.20619999999999999</v>
      </c>
      <c r="J2" s="12">
        <v>83047926</v>
      </c>
      <c r="K2" s="12">
        <v>15252341227888</v>
      </c>
      <c r="L2" s="12">
        <v>15252341227888</v>
      </c>
      <c r="M2" s="12">
        <v>4074721000430</v>
      </c>
      <c r="N2" s="12">
        <v>18851207127</v>
      </c>
      <c r="O2" s="12">
        <v>181116864911</v>
      </c>
      <c r="P2" s="12">
        <v>32989465162</v>
      </c>
      <c r="Q2" s="12">
        <v>3478182482295</v>
      </c>
      <c r="R2" s="12">
        <v>444549029805</v>
      </c>
      <c r="S2" s="12">
        <v>126379745663</v>
      </c>
      <c r="T2" s="62"/>
      <c r="U2" s="63">
        <v>9470010830930</v>
      </c>
      <c r="V2" s="12">
        <v>3526538689</v>
      </c>
      <c r="W2" s="12">
        <v>2944016381948</v>
      </c>
      <c r="X2" s="12">
        <v>6059253608427</v>
      </c>
      <c r="Y2" s="10">
        <v>1</v>
      </c>
      <c r="Z2" s="10">
        <v>1</v>
      </c>
      <c r="AA2" s="12">
        <v>384593666311</v>
      </c>
      <c r="AB2" s="12">
        <v>1191120379189</v>
      </c>
      <c r="AC2" s="15">
        <v>5412981768754</v>
      </c>
      <c r="AD2" s="12">
        <f t="shared" ref="AD2:AD16" si="0">AC2/J2</f>
        <v>65179.012041239897</v>
      </c>
      <c r="AE2" s="12">
        <v>2883600621241</v>
      </c>
      <c r="AF2" s="12">
        <v>165288532686</v>
      </c>
      <c r="AG2" s="12">
        <v>112341925855</v>
      </c>
      <c r="AH2" s="12">
        <v>90695364290</v>
      </c>
      <c r="AI2" s="15">
        <v>199595568783</v>
      </c>
      <c r="AJ2" s="15">
        <v>152314880</v>
      </c>
      <c r="AK2" s="15">
        <v>3603062861827</v>
      </c>
      <c r="AL2" s="15">
        <v>2883448306361</v>
      </c>
      <c r="AM2" s="11">
        <v>1.4774</v>
      </c>
      <c r="AN2" s="15">
        <v>589949869685</v>
      </c>
      <c r="AO2" s="15">
        <v>88080292950</v>
      </c>
      <c r="AP2" s="16">
        <v>5677</v>
      </c>
      <c r="AQ2" s="12">
        <v>12891</v>
      </c>
      <c r="AR2" s="12">
        <v>275171305825</v>
      </c>
      <c r="AS2" s="10">
        <v>23</v>
      </c>
      <c r="AT2" s="17"/>
      <c r="AU2" s="17"/>
    </row>
    <row r="3" spans="1:47" ht="15" customHeight="1" x14ac:dyDescent="0.3">
      <c r="A3" s="9">
        <v>1</v>
      </c>
      <c r="B3" s="9" t="s">
        <v>45</v>
      </c>
      <c r="C3" s="9" t="s">
        <v>46</v>
      </c>
      <c r="D3" s="9">
        <v>2021</v>
      </c>
      <c r="E3" s="10" t="s">
        <v>47</v>
      </c>
      <c r="F3" s="11">
        <v>6.4000000000000003E-3</v>
      </c>
      <c r="G3" s="11">
        <v>0.60809999999999997</v>
      </c>
      <c r="H3" s="11">
        <v>0.85870000000000002</v>
      </c>
      <c r="I3" s="11">
        <v>0.2117</v>
      </c>
      <c r="J3" s="12">
        <v>103558492</v>
      </c>
      <c r="K3" s="12">
        <v>18670802775298</v>
      </c>
      <c r="L3" s="12">
        <v>18670802775298</v>
      </c>
      <c r="M3" s="12">
        <v>5000618946478</v>
      </c>
      <c r="N3" s="12">
        <v>35314275506</v>
      </c>
      <c r="O3" s="12">
        <v>182821391702</v>
      </c>
      <c r="P3" s="12">
        <v>39400978392</v>
      </c>
      <c r="Q3" s="12">
        <v>3939311326335</v>
      </c>
      <c r="R3" s="12">
        <v>349662587558</v>
      </c>
      <c r="S3" s="16">
        <v>119440860415</v>
      </c>
      <c r="T3" s="62"/>
      <c r="U3" s="63">
        <v>11498970668</v>
      </c>
      <c r="V3" s="12">
        <v>30454545</v>
      </c>
      <c r="W3" s="12">
        <v>3457241381372</v>
      </c>
      <c r="X3" s="12">
        <v>6705188756789</v>
      </c>
      <c r="Y3" s="10">
        <v>1</v>
      </c>
      <c r="Z3" s="10">
        <v>1</v>
      </c>
      <c r="AA3" s="12">
        <v>292649622223</v>
      </c>
      <c r="AB3" s="12">
        <v>1309675291974</v>
      </c>
      <c r="AC3" s="15">
        <v>6219412354044</v>
      </c>
      <c r="AD3" s="12">
        <f t="shared" si="0"/>
        <v>60057</v>
      </c>
      <c r="AE3" s="12">
        <v>3690943645504</v>
      </c>
      <c r="AF3" s="12">
        <v>281808148094</v>
      </c>
      <c r="AG3" s="12">
        <v>41641988520</v>
      </c>
      <c r="AH3" s="12">
        <v>246696426178</v>
      </c>
      <c r="AI3" s="15">
        <v>222830019639</v>
      </c>
      <c r="AJ3" s="15">
        <v>667000000</v>
      </c>
      <c r="AK3" s="15">
        <v>4493115278787</v>
      </c>
      <c r="AL3" s="15">
        <v>3690943654504</v>
      </c>
      <c r="AM3" s="11">
        <v>0.22409999999999999</v>
      </c>
      <c r="AN3" s="15">
        <v>366423681517</v>
      </c>
      <c r="AO3" s="15">
        <v>122756157463</v>
      </c>
      <c r="AP3" s="16">
        <v>3155</v>
      </c>
      <c r="AQ3" s="12">
        <v>12203</v>
      </c>
      <c r="AR3" s="12">
        <v>275670297522</v>
      </c>
      <c r="AS3" s="10">
        <v>24</v>
      </c>
      <c r="AT3" s="17"/>
      <c r="AU3" s="17"/>
    </row>
    <row r="4" spans="1:47" ht="15" customHeight="1" x14ac:dyDescent="0.3">
      <c r="A4" s="9">
        <v>1</v>
      </c>
      <c r="B4" s="9" t="s">
        <v>45</v>
      </c>
      <c r="C4" s="9" t="s">
        <v>46</v>
      </c>
      <c r="D4" s="9">
        <v>2022</v>
      </c>
      <c r="E4" s="10" t="s">
        <v>47</v>
      </c>
      <c r="F4" s="11">
        <v>6.4000000000000003E-3</v>
      </c>
      <c r="G4" s="11">
        <v>0.60809999999999997</v>
      </c>
      <c r="H4" s="11">
        <v>0.81369999999999998</v>
      </c>
      <c r="I4" s="11">
        <v>0.18870000000000001</v>
      </c>
      <c r="J4" s="12">
        <v>113217237</v>
      </c>
      <c r="K4" s="12">
        <v>18866459361487</v>
      </c>
      <c r="L4" s="12">
        <v>18866459361487</v>
      </c>
      <c r="M4" s="12">
        <v>5367491158367</v>
      </c>
      <c r="N4" s="12">
        <v>35995265744</v>
      </c>
      <c r="O4" s="12">
        <v>282549202013</v>
      </c>
      <c r="P4" s="12">
        <v>36107160825</v>
      </c>
      <c r="Q4" s="12">
        <v>5210290457112</v>
      </c>
      <c r="R4" s="12">
        <v>289208707094</v>
      </c>
      <c r="S4" s="12">
        <v>133841517371</v>
      </c>
      <c r="T4" s="62"/>
      <c r="U4" s="63">
        <v>10169815657372</v>
      </c>
      <c r="V4" s="12">
        <v>409440910</v>
      </c>
      <c r="W4" s="12">
        <v>4420287698253</v>
      </c>
      <c r="X4" s="12">
        <v>8510883165580</v>
      </c>
      <c r="Y4" s="10">
        <v>1</v>
      </c>
      <c r="Z4" s="10">
        <v>1</v>
      </c>
      <c r="AA4" s="12">
        <v>251497583031</v>
      </c>
      <c r="AB4" s="12">
        <v>1370563649527</v>
      </c>
      <c r="AC4" s="15">
        <v>2741328959481</v>
      </c>
      <c r="AD4" s="12">
        <f t="shared" si="0"/>
        <v>24213</v>
      </c>
      <c r="AE4" s="12">
        <v>3996927508840</v>
      </c>
      <c r="AF4" s="12">
        <v>116215442755</v>
      </c>
      <c r="AG4" s="12">
        <v>25885525668</v>
      </c>
      <c r="AH4" s="12">
        <v>252015151287</v>
      </c>
      <c r="AI4" s="15">
        <v>252015151287</v>
      </c>
      <c r="AJ4" s="15">
        <v>12437742500</v>
      </c>
      <c r="AK4" s="15">
        <v>4763037311347</v>
      </c>
      <c r="AL4" s="15">
        <v>3984489766340</v>
      </c>
      <c r="AM4" s="11">
        <v>1.0500000000000001E-2</v>
      </c>
      <c r="AN4" s="15">
        <v>341061811966</v>
      </c>
      <c r="AO4" s="15">
        <v>153041582430</v>
      </c>
      <c r="AP4" s="16">
        <v>2434</v>
      </c>
      <c r="AQ4" s="12">
        <v>15508</v>
      </c>
      <c r="AR4" s="12">
        <v>226581098157</v>
      </c>
      <c r="AS4" s="10">
        <v>25</v>
      </c>
      <c r="AT4" s="17"/>
      <c r="AU4" s="17"/>
    </row>
    <row r="5" spans="1:47" ht="15" customHeight="1" x14ac:dyDescent="0.3">
      <c r="A5" s="9">
        <v>1</v>
      </c>
      <c r="B5" s="9" t="s">
        <v>45</v>
      </c>
      <c r="C5" s="9" t="s">
        <v>46</v>
      </c>
      <c r="D5" s="9">
        <v>2023</v>
      </c>
      <c r="E5" s="10" t="s">
        <v>47</v>
      </c>
      <c r="F5" s="11">
        <v>6.4000000000000003E-3</v>
      </c>
      <c r="G5" s="11">
        <v>0.60809999999999997</v>
      </c>
      <c r="H5" s="11">
        <v>0.74990000000000001</v>
      </c>
      <c r="I5" s="11">
        <v>0.1084</v>
      </c>
      <c r="J5" s="12">
        <v>121783042</v>
      </c>
      <c r="K5" s="12">
        <v>17569303702819</v>
      </c>
      <c r="L5" s="12">
        <v>17569303702819</v>
      </c>
      <c r="M5" s="12">
        <v>5825869558376</v>
      </c>
      <c r="N5" s="12">
        <v>50212369060</v>
      </c>
      <c r="O5" s="12">
        <v>360317326767</v>
      </c>
      <c r="P5" s="12">
        <v>35744938059</v>
      </c>
      <c r="Q5" s="12">
        <v>6023194414000</v>
      </c>
      <c r="R5" s="12">
        <v>415768564625</v>
      </c>
      <c r="S5" s="12">
        <v>127556722698</v>
      </c>
      <c r="T5" s="62"/>
      <c r="U5" s="63">
        <v>7920819657700</v>
      </c>
      <c r="V5" s="10">
        <v>0</v>
      </c>
      <c r="W5" s="12">
        <v>4900538570248</v>
      </c>
      <c r="X5" s="12">
        <v>9579831387012</v>
      </c>
      <c r="Y5" s="10">
        <v>1</v>
      </c>
      <c r="Z5" s="10">
        <v>1</v>
      </c>
      <c r="AA5" s="12">
        <v>379384388733</v>
      </c>
      <c r="AB5" s="12">
        <v>1560698009183</v>
      </c>
      <c r="AC5" s="15">
        <v>6929455089800</v>
      </c>
      <c r="AD5" s="12">
        <f t="shared" si="0"/>
        <v>56900</v>
      </c>
      <c r="AE5" s="12">
        <v>4265171549193</v>
      </c>
      <c r="AF5" s="12">
        <v>134296690617</v>
      </c>
      <c r="AG5" s="12">
        <v>372413951522</v>
      </c>
      <c r="AH5" s="12">
        <v>202512347927</v>
      </c>
      <c r="AI5" s="15">
        <v>605466501241</v>
      </c>
      <c r="AJ5" s="15">
        <v>53397059216</v>
      </c>
      <c r="AK5" s="15">
        <v>4864212782261</v>
      </c>
      <c r="AL5" s="15">
        <v>4265171549193</v>
      </c>
      <c r="AM5" s="11">
        <v>-6.8699999999999997E-2</v>
      </c>
      <c r="AN5" s="15">
        <v>396834081440</v>
      </c>
      <c r="AO5" s="15">
        <v>128189719005</v>
      </c>
      <c r="AP5" s="16">
        <v>3278</v>
      </c>
      <c r="AQ5" s="12">
        <v>15389</v>
      </c>
      <c r="AR5" s="12">
        <v>331928885626</v>
      </c>
      <c r="AS5" s="10">
        <v>26</v>
      </c>
      <c r="AT5" s="17"/>
      <c r="AU5" s="17"/>
    </row>
    <row r="6" spans="1:47" ht="15" customHeight="1" x14ac:dyDescent="0.3">
      <c r="A6" s="9">
        <v>1</v>
      </c>
      <c r="B6" s="9" t="s">
        <v>45</v>
      </c>
      <c r="C6" s="9" t="s">
        <v>46</v>
      </c>
      <c r="D6" s="9">
        <v>2024</v>
      </c>
      <c r="E6" s="10" t="s">
        <v>47</v>
      </c>
      <c r="F6" s="11">
        <v>6.4000000000000003E-3</v>
      </c>
      <c r="G6" s="11">
        <v>0.60809999999999997</v>
      </c>
      <c r="H6" s="11">
        <v>0.72770000000000001</v>
      </c>
      <c r="I6" s="11">
        <v>7.0499999999999993E-2</v>
      </c>
      <c r="J6" s="12">
        <v>121783042</v>
      </c>
      <c r="K6" s="12">
        <v>18959592234371</v>
      </c>
      <c r="L6" s="12">
        <v>18959592234371</v>
      </c>
      <c r="M6" s="12">
        <v>5882936665926</v>
      </c>
      <c r="N6" s="12">
        <v>112113633498</v>
      </c>
      <c r="O6" s="12">
        <v>367126335176</v>
      </c>
      <c r="P6" s="12">
        <v>53646413631</v>
      </c>
      <c r="Q6" s="12">
        <v>8243970317333</v>
      </c>
      <c r="R6" s="12">
        <v>456962863108</v>
      </c>
      <c r="S6" s="12">
        <v>297046126729</v>
      </c>
      <c r="T6" s="64"/>
      <c r="U6" s="63" t="s">
        <v>48</v>
      </c>
      <c r="V6" s="10">
        <v>0</v>
      </c>
      <c r="W6" s="12">
        <v>7529477123861</v>
      </c>
      <c r="X6" s="12">
        <v>12092133881653</v>
      </c>
      <c r="Y6" s="10">
        <v>1</v>
      </c>
      <c r="Z6" s="10">
        <v>1</v>
      </c>
      <c r="AA6" s="12">
        <v>377679144851</v>
      </c>
      <c r="AB6" s="12">
        <v>1568750706861</v>
      </c>
      <c r="AC6" s="15">
        <v>16672100000000</v>
      </c>
      <c r="AD6" s="12">
        <f t="shared" si="0"/>
        <v>136900.01272919428</v>
      </c>
      <c r="AE6" s="12">
        <v>4314185959065</v>
      </c>
      <c r="AF6" s="12">
        <v>17314685809</v>
      </c>
      <c r="AG6" s="12">
        <v>372090042779</v>
      </c>
      <c r="AH6" s="12">
        <v>24591399755</v>
      </c>
      <c r="AI6" s="15">
        <v>204040016771</v>
      </c>
      <c r="AJ6" s="15">
        <v>98955578134</v>
      </c>
      <c r="AK6" s="15">
        <v>4216650863659</v>
      </c>
      <c r="AL6" s="15">
        <v>4215230380931</v>
      </c>
      <c r="AM6" s="11">
        <v>7.9100000000000004E-2</v>
      </c>
      <c r="AN6" s="15">
        <v>277263888899</v>
      </c>
      <c r="AO6" s="15">
        <v>182674563000</v>
      </c>
      <c r="AP6" s="16">
        <v>3146</v>
      </c>
      <c r="AQ6" s="12">
        <v>13013</v>
      </c>
      <c r="AR6" s="12">
        <v>686684112572</v>
      </c>
      <c r="AS6" s="10">
        <v>27</v>
      </c>
      <c r="AT6" s="17"/>
      <c r="AU6" s="17"/>
    </row>
    <row r="7" spans="1:47" ht="15" customHeight="1" x14ac:dyDescent="0.3">
      <c r="A7" s="57">
        <v>2</v>
      </c>
      <c r="B7" s="57" t="s">
        <v>49</v>
      </c>
      <c r="C7" s="57" t="s">
        <v>50</v>
      </c>
      <c r="D7" s="57">
        <v>2020</v>
      </c>
      <c r="E7" s="58" t="s">
        <v>51</v>
      </c>
      <c r="F7" s="56">
        <v>9.7999999999999997E-3</v>
      </c>
      <c r="G7" s="56">
        <v>0.79069999999999996</v>
      </c>
      <c r="H7" s="56">
        <v>0.80959999999999999</v>
      </c>
      <c r="I7" s="56">
        <v>2.4799999999999999E-2</v>
      </c>
      <c r="J7" s="60">
        <v>80798839</v>
      </c>
      <c r="K7" s="60">
        <v>1389702366065</v>
      </c>
      <c r="L7" s="60">
        <v>1389702366065</v>
      </c>
      <c r="M7" s="60">
        <v>1555556657716</v>
      </c>
      <c r="N7" s="60">
        <v>208680806878</v>
      </c>
      <c r="O7" s="60">
        <v>78720908872</v>
      </c>
      <c r="P7" s="60">
        <v>1540839553</v>
      </c>
      <c r="Q7" s="60">
        <v>297205072137</v>
      </c>
      <c r="R7" s="60">
        <v>170788998122</v>
      </c>
      <c r="S7" s="60">
        <v>756259593904</v>
      </c>
      <c r="T7" s="60"/>
      <c r="U7" s="51">
        <v>939821900948</v>
      </c>
      <c r="V7" s="60">
        <v>9797246887</v>
      </c>
      <c r="W7" s="60">
        <v>40022052388</v>
      </c>
      <c r="X7" s="60">
        <v>1142851383000</v>
      </c>
      <c r="Y7" s="58">
        <v>0</v>
      </c>
      <c r="Z7" s="58">
        <v>1</v>
      </c>
      <c r="AA7" s="60">
        <v>137957354363</v>
      </c>
      <c r="AB7" s="60">
        <v>1236981812311</v>
      </c>
      <c r="AC7" s="51">
        <v>1957506285658</v>
      </c>
      <c r="AD7" s="60">
        <f t="shared" si="0"/>
        <v>24226.911053239266</v>
      </c>
      <c r="AE7" s="60">
        <v>318574845405</v>
      </c>
      <c r="AF7" s="60">
        <v>135577963307</v>
      </c>
      <c r="AG7" s="60">
        <v>33968394329</v>
      </c>
      <c r="AH7" s="60">
        <v>17909406627</v>
      </c>
      <c r="AI7" s="51">
        <v>42587710609</v>
      </c>
      <c r="AJ7" s="51">
        <v>0</v>
      </c>
      <c r="AK7" s="51">
        <v>503486461526</v>
      </c>
      <c r="AL7" s="51">
        <v>318574845405</v>
      </c>
      <c r="AM7" s="56">
        <v>-5.8700000000000002E-2</v>
      </c>
      <c r="AN7" s="51">
        <v>360665045768</v>
      </c>
      <c r="AO7" s="51">
        <v>167703153750</v>
      </c>
      <c r="AP7" s="61">
        <v>1631</v>
      </c>
      <c r="AQ7" s="58">
        <v>731</v>
      </c>
      <c r="AR7" s="60">
        <v>302581742694</v>
      </c>
      <c r="AS7" s="58">
        <v>26</v>
      </c>
      <c r="AT7" s="17"/>
      <c r="AU7" s="17"/>
    </row>
    <row r="8" spans="1:47" ht="15" customHeight="1" x14ac:dyDescent="0.3">
      <c r="A8" s="57">
        <v>2</v>
      </c>
      <c r="B8" s="57" t="s">
        <v>49</v>
      </c>
      <c r="C8" s="57" t="s">
        <v>50</v>
      </c>
      <c r="D8" s="57">
        <v>2021</v>
      </c>
      <c r="E8" s="58" t="s">
        <v>51</v>
      </c>
      <c r="F8" s="58"/>
      <c r="G8" s="56">
        <v>0.79069999999999996</v>
      </c>
      <c r="H8" s="56">
        <v>0.81820000000000004</v>
      </c>
      <c r="I8" s="56">
        <v>1.03E-2</v>
      </c>
      <c r="J8" s="60">
        <v>80798839</v>
      </c>
      <c r="K8" s="60">
        <v>1511902902255</v>
      </c>
      <c r="L8" s="60">
        <v>1511902902255</v>
      </c>
      <c r="M8" s="60">
        <v>1836255564828</v>
      </c>
      <c r="N8" s="60">
        <v>201584294374</v>
      </c>
      <c r="O8" s="60">
        <v>82855611828</v>
      </c>
      <c r="P8" s="60">
        <v>1309883317</v>
      </c>
      <c r="Q8" s="60">
        <v>297205072137</v>
      </c>
      <c r="R8" s="60">
        <v>133427771962</v>
      </c>
      <c r="S8" s="60">
        <v>992101963437</v>
      </c>
      <c r="T8" s="60"/>
      <c r="U8" s="51">
        <v>1385302065979</v>
      </c>
      <c r="V8" s="60">
        <v>34526249736</v>
      </c>
      <c r="W8" s="60">
        <v>43428758113</v>
      </c>
      <c r="X8" s="60">
        <v>1453661652087</v>
      </c>
      <c r="Y8" s="58">
        <v>1</v>
      </c>
      <c r="Z8" s="58">
        <v>1</v>
      </c>
      <c r="AA8" s="60">
        <v>109436032988</v>
      </c>
      <c r="AB8" s="60">
        <v>1296428635824</v>
      </c>
      <c r="AC8" s="51">
        <v>2848791513072</v>
      </c>
      <c r="AD8" s="60">
        <f t="shared" si="0"/>
        <v>35257.827319424723</v>
      </c>
      <c r="AE8" s="60">
        <v>539826929004</v>
      </c>
      <c r="AF8" s="60">
        <v>130273145424</v>
      </c>
      <c r="AG8" s="60">
        <v>19937564392</v>
      </c>
      <c r="AH8" s="60">
        <v>14588097735</v>
      </c>
      <c r="AI8" s="51">
        <v>55925573172</v>
      </c>
      <c r="AJ8" s="51">
        <v>0</v>
      </c>
      <c r="AK8" s="51">
        <v>833625566425</v>
      </c>
      <c r="AL8" s="51">
        <v>539826929004</v>
      </c>
      <c r="AM8" s="65">
        <v>0.09</v>
      </c>
      <c r="AN8" s="51">
        <v>659636569864</v>
      </c>
      <c r="AO8" s="51">
        <v>74320893550</v>
      </c>
      <c r="AP8" s="61">
        <v>1625</v>
      </c>
      <c r="AQ8" s="58">
        <v>343</v>
      </c>
      <c r="AR8" s="60">
        <v>276671356448</v>
      </c>
      <c r="AS8" s="58">
        <v>27</v>
      </c>
      <c r="AT8" s="17"/>
      <c r="AU8" s="17"/>
    </row>
    <row r="9" spans="1:47" ht="15" customHeight="1" x14ac:dyDescent="0.3">
      <c r="A9" s="57">
        <v>2</v>
      </c>
      <c r="B9" s="57" t="s">
        <v>49</v>
      </c>
      <c r="C9" s="57" t="s">
        <v>50</v>
      </c>
      <c r="D9" s="57">
        <v>2022</v>
      </c>
      <c r="E9" s="58" t="s">
        <v>51</v>
      </c>
      <c r="F9" s="56">
        <v>8.9999999999999998E-4</v>
      </c>
      <c r="G9" s="56">
        <v>0.79069999999999996</v>
      </c>
      <c r="H9" s="56">
        <v>0.81489999999999996</v>
      </c>
      <c r="I9" s="56">
        <v>1.18E-2</v>
      </c>
      <c r="J9" s="60">
        <v>80798839</v>
      </c>
      <c r="K9" s="60">
        <v>1676415366827</v>
      </c>
      <c r="L9" s="60">
        <v>1676415366827</v>
      </c>
      <c r="M9" s="60">
        <v>1796325938658</v>
      </c>
      <c r="N9" s="60">
        <v>205649795860</v>
      </c>
      <c r="O9" s="60">
        <v>87686198756</v>
      </c>
      <c r="P9" s="60">
        <v>2107330005</v>
      </c>
      <c r="Q9" s="60">
        <v>297240162486</v>
      </c>
      <c r="R9" s="66">
        <v>152331387311</v>
      </c>
      <c r="S9" s="60">
        <v>1017829579201</v>
      </c>
      <c r="T9" s="60"/>
      <c r="U9" s="51">
        <v>1251444887690</v>
      </c>
      <c r="V9" s="60">
        <v>58410730560</v>
      </c>
      <c r="W9" s="60">
        <v>55427731742</v>
      </c>
      <c r="X9" s="60">
        <v>1418897956004</v>
      </c>
      <c r="Y9" s="58">
        <v>1</v>
      </c>
      <c r="Z9" s="58">
        <v>1</v>
      </c>
      <c r="AA9" s="60">
        <v>141150041103</v>
      </c>
      <c r="AB9" s="60">
        <v>1193245837987</v>
      </c>
      <c r="AC9" s="51">
        <v>1714394576297</v>
      </c>
      <c r="AD9" s="60">
        <f t="shared" si="0"/>
        <v>21218.059535447039</v>
      </c>
      <c r="AE9" s="60">
        <v>603080100671</v>
      </c>
      <c r="AF9" s="60">
        <v>139195673634</v>
      </c>
      <c r="AG9" s="60">
        <v>28540611576</v>
      </c>
      <c r="AH9" s="60">
        <v>64995408813</v>
      </c>
      <c r="AI9" s="51">
        <v>68220720736</v>
      </c>
      <c r="AJ9" s="51">
        <v>0</v>
      </c>
      <c r="AK9" s="51">
        <v>873914059250</v>
      </c>
      <c r="AL9" s="51">
        <v>603080100671</v>
      </c>
      <c r="AM9" s="56">
        <v>2.3E-3</v>
      </c>
      <c r="AN9" s="51">
        <v>670007981446</v>
      </c>
      <c r="AO9" s="51">
        <v>161092899290</v>
      </c>
      <c r="AP9" s="61">
        <v>1208</v>
      </c>
      <c r="AQ9" s="58">
        <v>341</v>
      </c>
      <c r="AR9" s="60">
        <v>254680520419</v>
      </c>
      <c r="AS9" s="58">
        <v>28</v>
      </c>
      <c r="AT9" s="17"/>
      <c r="AU9" s="17"/>
    </row>
    <row r="10" spans="1:47" ht="15" customHeight="1" x14ac:dyDescent="0.3">
      <c r="A10" s="57">
        <v>2</v>
      </c>
      <c r="B10" s="57" t="s">
        <v>49</v>
      </c>
      <c r="C10" s="57" t="s">
        <v>50</v>
      </c>
      <c r="D10" s="57">
        <v>2023</v>
      </c>
      <c r="E10" s="58" t="s">
        <v>51</v>
      </c>
      <c r="F10" s="56">
        <v>8.9999999999999998E-4</v>
      </c>
      <c r="G10" s="56">
        <v>0.79069999999999996</v>
      </c>
      <c r="H10" s="56">
        <v>0.86650000000000005</v>
      </c>
      <c r="I10" s="56">
        <v>1.12E-2</v>
      </c>
      <c r="J10" s="60">
        <v>80798839</v>
      </c>
      <c r="K10" s="60">
        <v>1680328665045</v>
      </c>
      <c r="L10" s="60">
        <v>1680328665045</v>
      </c>
      <c r="M10" s="60">
        <v>1739099741874</v>
      </c>
      <c r="N10" s="60">
        <v>213779846496</v>
      </c>
      <c r="O10" s="60">
        <v>77990867004</v>
      </c>
      <c r="P10" s="60">
        <v>2380340377</v>
      </c>
      <c r="Q10" s="60">
        <v>324164774476</v>
      </c>
      <c r="R10" s="60">
        <v>120387710764</v>
      </c>
      <c r="S10" s="60">
        <v>1007386754183</v>
      </c>
      <c r="T10" s="60"/>
      <c r="U10" s="51">
        <v>1227806888106</v>
      </c>
      <c r="V10" s="60">
        <v>60520712617</v>
      </c>
      <c r="W10" s="58" t="s">
        <v>52</v>
      </c>
      <c r="X10" s="60">
        <v>1423501034867</v>
      </c>
      <c r="Y10" s="58">
        <v>1</v>
      </c>
      <c r="Z10" s="58">
        <v>1</v>
      </c>
      <c r="AA10" s="60">
        <v>111147501286</v>
      </c>
      <c r="AB10" s="60">
        <v>1293609091107</v>
      </c>
      <c r="AC10" s="51">
        <v>2362555659360</v>
      </c>
      <c r="AD10" s="60">
        <f t="shared" si="0"/>
        <v>29239.970383237807</v>
      </c>
      <c r="AE10" s="60">
        <v>445490650767</v>
      </c>
      <c r="AF10" s="60">
        <v>111147501286</v>
      </c>
      <c r="AG10" s="60">
        <v>40153927799</v>
      </c>
      <c r="AH10" s="60">
        <v>41872383644</v>
      </c>
      <c r="AI10" s="51">
        <v>94581864596</v>
      </c>
      <c r="AJ10" s="51">
        <v>2000000000</v>
      </c>
      <c r="AK10" s="51">
        <v>825728492434</v>
      </c>
      <c r="AL10" s="51">
        <v>443390650767</v>
      </c>
      <c r="AM10" s="56">
        <v>2.3E-3</v>
      </c>
      <c r="AN10" s="51">
        <v>579734803991</v>
      </c>
      <c r="AO10" s="51">
        <v>56704789600</v>
      </c>
      <c r="AP10" s="61">
        <v>1173</v>
      </c>
      <c r="AQ10" s="58">
        <v>338</v>
      </c>
      <c r="AR10" s="60">
        <v>247524148102</v>
      </c>
      <c r="AS10" s="58">
        <v>29</v>
      </c>
      <c r="AT10" s="17"/>
      <c r="AU10" s="17"/>
    </row>
    <row r="11" spans="1:47" ht="15" customHeight="1" x14ac:dyDescent="0.3">
      <c r="A11" s="57">
        <v>2</v>
      </c>
      <c r="B11" s="57" t="s">
        <v>49</v>
      </c>
      <c r="C11" s="57" t="s">
        <v>50</v>
      </c>
      <c r="D11" s="57">
        <v>2024</v>
      </c>
      <c r="E11" s="58" t="s">
        <v>51</v>
      </c>
      <c r="F11" s="56">
        <v>4.0000000000000002E-4</v>
      </c>
      <c r="G11" s="56">
        <v>0.79069999999999996</v>
      </c>
      <c r="H11" s="56">
        <v>0.80810000000000004</v>
      </c>
      <c r="I11" s="56">
        <v>3.3E-3</v>
      </c>
      <c r="J11" s="60">
        <v>80798839</v>
      </c>
      <c r="K11" s="60">
        <v>1842642684543</v>
      </c>
      <c r="L11" s="60">
        <v>1842642684543</v>
      </c>
      <c r="M11" s="60">
        <v>1782897233531</v>
      </c>
      <c r="N11" s="51">
        <v>257773212912</v>
      </c>
      <c r="O11" s="60">
        <v>89405673670</v>
      </c>
      <c r="P11" s="60">
        <v>7581515137</v>
      </c>
      <c r="Q11" s="60">
        <v>313295470383</v>
      </c>
      <c r="R11" s="60">
        <v>73617947867</v>
      </c>
      <c r="S11" s="60">
        <v>1217447043334</v>
      </c>
      <c r="T11" s="60"/>
      <c r="U11" s="51">
        <v>1320012129882</v>
      </c>
      <c r="V11" s="60">
        <v>39942794426</v>
      </c>
      <c r="W11" s="60">
        <v>37842621601</v>
      </c>
      <c r="X11" s="59">
        <v>1649433906264</v>
      </c>
      <c r="Y11" s="58">
        <v>1</v>
      </c>
      <c r="Z11" s="58">
        <v>1</v>
      </c>
      <c r="AA11" s="60">
        <v>62531786257</v>
      </c>
      <c r="AB11" s="60">
        <v>1255564281092</v>
      </c>
      <c r="AC11" s="51">
        <v>1878809421667</v>
      </c>
      <c r="AD11" s="60">
        <f t="shared" si="0"/>
        <v>23252.925969233296</v>
      </c>
      <c r="AE11" s="60">
        <v>527332952439</v>
      </c>
      <c r="AF11" s="60">
        <v>190141033637</v>
      </c>
      <c r="AG11" s="60">
        <v>31659641808</v>
      </c>
      <c r="AH11" s="60">
        <v>197469920636</v>
      </c>
      <c r="AI11" s="51">
        <v>64985556982</v>
      </c>
      <c r="AJ11" s="51">
        <v>2000000000</v>
      </c>
      <c r="AK11" s="51">
        <v>1589258601</v>
      </c>
      <c r="AL11" s="51">
        <v>527332952439</v>
      </c>
      <c r="AM11" s="56">
        <v>9.6600000000000005E-2</v>
      </c>
      <c r="AN11" s="51">
        <v>517055913768</v>
      </c>
      <c r="AO11" s="51">
        <v>96775568040</v>
      </c>
      <c r="AP11" s="61">
        <v>535</v>
      </c>
      <c r="AQ11" s="58">
        <v>341</v>
      </c>
      <c r="AR11" s="60">
        <v>228918200990</v>
      </c>
      <c r="AS11" s="58">
        <v>30</v>
      </c>
      <c r="AT11" s="17"/>
      <c r="AU11" s="17"/>
    </row>
    <row r="12" spans="1:47" ht="15" customHeight="1" x14ac:dyDescent="0.3">
      <c r="A12" s="73">
        <v>3</v>
      </c>
      <c r="B12" s="73" t="s">
        <v>53</v>
      </c>
      <c r="C12" s="73" t="s">
        <v>54</v>
      </c>
      <c r="D12" s="73">
        <v>2020</v>
      </c>
      <c r="E12" s="74" t="s">
        <v>55</v>
      </c>
      <c r="F12" s="75">
        <f>(4619991+2017811)/82340260</f>
        <v>8.061429487834991E-2</v>
      </c>
      <c r="G12" s="75">
        <v>0</v>
      </c>
      <c r="H12" s="75">
        <f>32181039/82340260</f>
        <v>0.39082994151342249</v>
      </c>
      <c r="I12" s="75">
        <v>0.2407</v>
      </c>
      <c r="J12" s="76">
        <v>78340256</v>
      </c>
      <c r="K12" s="76">
        <v>2087096726853</v>
      </c>
      <c r="L12" s="76">
        <v>1766328898432</v>
      </c>
      <c r="M12" s="76">
        <v>1427289914321</v>
      </c>
      <c r="N12" s="76">
        <v>30073124462</v>
      </c>
      <c r="O12" s="76">
        <v>113232711497</v>
      </c>
      <c r="P12" s="76">
        <v>1376660000</v>
      </c>
      <c r="Q12" s="76">
        <f>20480691356+15998278727+82642911517</f>
        <v>119121881600</v>
      </c>
      <c r="R12" s="76">
        <v>72984770345</v>
      </c>
      <c r="S12" s="76">
        <v>305846061235</v>
      </c>
      <c r="T12" s="76"/>
      <c r="U12" s="76"/>
      <c r="V12" s="76"/>
      <c r="W12" s="76">
        <v>43920389022</v>
      </c>
      <c r="X12" s="76">
        <v>639647531777</v>
      </c>
      <c r="Y12" s="74">
        <v>1</v>
      </c>
      <c r="Z12" s="74">
        <v>1</v>
      </c>
      <c r="AA12" s="77">
        <v>67563189103</v>
      </c>
      <c r="AB12" s="77">
        <v>439274901298</v>
      </c>
      <c r="AC12" s="76">
        <f t="shared" ref="AC12:AC13" si="1">82340260*10000</f>
        <v>823402600000</v>
      </c>
      <c r="AD12" s="78">
        <f t="shared" si="0"/>
        <v>10510.593685065312</v>
      </c>
      <c r="AE12" s="77">
        <v>869544931289</v>
      </c>
      <c r="AF12" s="77">
        <v>82683615726</v>
      </c>
      <c r="AG12" s="77">
        <f>143131809330-150000000</f>
        <v>142981809330</v>
      </c>
      <c r="AH12" s="77">
        <f>125767270628</f>
        <v>125767270628</v>
      </c>
      <c r="AI12" s="76">
        <f>90269672873</f>
        <v>90269672873</v>
      </c>
      <c r="AJ12" s="76">
        <f>101792455472</f>
        <v>101792455472</v>
      </c>
      <c r="AK12" s="76">
        <f>924861085892</f>
        <v>924861085892</v>
      </c>
      <c r="AL12" s="76">
        <f>767752475817</f>
        <v>767752475817</v>
      </c>
      <c r="AM12" s="75">
        <f>(2086352824613-1999303667555)/1999303667555</f>
        <v>4.3539737594967078E-2</v>
      </c>
      <c r="AN12" s="76">
        <f>527935214966</f>
        <v>527935214966</v>
      </c>
      <c r="AO12" s="76">
        <f>20193500000</f>
        <v>20193500000</v>
      </c>
      <c r="AP12" s="79">
        <f>71771819452/82340260</f>
        <v>871.64917200892978</v>
      </c>
      <c r="AQ12" s="74">
        <v>827</v>
      </c>
      <c r="AR12" s="77">
        <f>185991118307</f>
        <v>185991118307</v>
      </c>
      <c r="AS12" s="74">
        <f>2024-2001</f>
        <v>23</v>
      </c>
      <c r="AT12" s="17"/>
      <c r="AU12" s="17"/>
    </row>
    <row r="13" spans="1:47" ht="15" customHeight="1" x14ac:dyDescent="0.3">
      <c r="A13" s="73">
        <v>3</v>
      </c>
      <c r="B13" s="73" t="s">
        <v>53</v>
      </c>
      <c r="C13" s="73" t="s">
        <v>54</v>
      </c>
      <c r="D13" s="73">
        <v>2021</v>
      </c>
      <c r="E13" s="74" t="s">
        <v>55</v>
      </c>
      <c r="F13" s="75">
        <v>9.3700000000000006E-2</v>
      </c>
      <c r="G13" s="75">
        <v>0</v>
      </c>
      <c r="H13" s="75">
        <v>0.41370000000000001</v>
      </c>
      <c r="I13" s="75">
        <v>0.10920000000000001</v>
      </c>
      <c r="J13" s="76">
        <v>26349032</v>
      </c>
      <c r="K13" s="76">
        <v>1606353491564</v>
      </c>
      <c r="L13" s="76">
        <v>1914823539018</v>
      </c>
      <c r="M13" s="76">
        <v>1783478765343</v>
      </c>
      <c r="N13" s="76">
        <v>69176602825</v>
      </c>
      <c r="O13" s="76">
        <v>44912915253</v>
      </c>
      <c r="P13" s="76">
        <v>1809993328</v>
      </c>
      <c r="Q13" s="76">
        <f>17077736709+10909696074+73280388482</f>
        <v>101267821265</v>
      </c>
      <c r="R13" s="76">
        <v>87019976335</v>
      </c>
      <c r="S13" s="76">
        <v>347252693018</v>
      </c>
      <c r="T13" s="76"/>
      <c r="U13" s="76"/>
      <c r="V13" s="76"/>
      <c r="W13" s="76">
        <v>46331411096</v>
      </c>
      <c r="X13" s="76">
        <v>681809278816</v>
      </c>
      <c r="Y13" s="74">
        <v>1</v>
      </c>
      <c r="Z13" s="74">
        <v>1</v>
      </c>
      <c r="AA13" s="77">
        <v>70814246518</v>
      </c>
      <c r="AB13" s="77">
        <v>477251252703</v>
      </c>
      <c r="AC13" s="76">
        <f t="shared" si="1"/>
        <v>823402600000</v>
      </c>
      <c r="AD13" s="78">
        <f t="shared" si="0"/>
        <v>31249.823522928658</v>
      </c>
      <c r="AE13" s="77">
        <v>771114283113</v>
      </c>
      <c r="AF13" s="77">
        <v>99256443426</v>
      </c>
      <c r="AG13" s="77">
        <f>366523437510-281000000</f>
        <v>366242437510</v>
      </c>
      <c r="AH13" s="77">
        <v>410173882780</v>
      </c>
      <c r="AI13" s="76">
        <v>59669255771</v>
      </c>
      <c r="AJ13" s="76">
        <v>175126090059</v>
      </c>
      <c r="AK13" s="76">
        <f>1008672591705</f>
        <v>1008672591705</v>
      </c>
      <c r="AL13" s="76">
        <v>758330134106</v>
      </c>
      <c r="AM13" s="75">
        <v>-0.17599999999999999</v>
      </c>
      <c r="AN13" s="76">
        <v>378908403455</v>
      </c>
      <c r="AO13" s="76">
        <v>13167311000</v>
      </c>
      <c r="AP13" s="79">
        <v>1981.99</v>
      </c>
      <c r="AQ13" s="74">
        <v>795</v>
      </c>
      <c r="AR13" s="77">
        <f>152884290289</f>
        <v>152884290289</v>
      </c>
      <c r="AS13" s="74">
        <v>22</v>
      </c>
      <c r="AT13" s="17"/>
      <c r="AU13" s="17"/>
    </row>
    <row r="14" spans="1:47" ht="15" customHeight="1" x14ac:dyDescent="0.3">
      <c r="A14" s="73">
        <v>3</v>
      </c>
      <c r="B14" s="73" t="s">
        <v>53</v>
      </c>
      <c r="C14" s="73" t="s">
        <v>54</v>
      </c>
      <c r="D14" s="73">
        <v>2022</v>
      </c>
      <c r="E14" s="74" t="s">
        <v>55</v>
      </c>
      <c r="F14" s="75">
        <v>7.8899999999999998E-2</v>
      </c>
      <c r="G14" s="75">
        <v>0</v>
      </c>
      <c r="H14" s="75">
        <v>0.39290000000000003</v>
      </c>
      <c r="I14" s="75">
        <v>0.19020000000000001</v>
      </c>
      <c r="J14" s="76">
        <v>62639293</v>
      </c>
      <c r="K14" s="76">
        <v>1841056920806</v>
      </c>
      <c r="L14" s="76">
        <v>1955954130214</v>
      </c>
      <c r="M14" s="76">
        <v>1870077300233</v>
      </c>
      <c r="N14" s="76">
        <v>69308136012</v>
      </c>
      <c r="O14" s="76">
        <v>47794708232</v>
      </c>
      <c r="P14" s="76">
        <v>1458077320</v>
      </c>
      <c r="Q14" s="76">
        <v>111493738124</v>
      </c>
      <c r="R14" s="76">
        <v>106455547309</v>
      </c>
      <c r="S14" s="76">
        <v>465412254012</v>
      </c>
      <c r="T14" s="76"/>
      <c r="U14" s="76"/>
      <c r="V14" s="76"/>
      <c r="W14" s="76">
        <v>52234331439</v>
      </c>
      <c r="X14" s="76">
        <v>1631789282909</v>
      </c>
      <c r="Y14" s="74">
        <v>0</v>
      </c>
      <c r="Z14" s="74">
        <v>1</v>
      </c>
      <c r="AA14" s="77">
        <v>99018724643</v>
      </c>
      <c r="AB14" s="77">
        <v>929109847344</v>
      </c>
      <c r="AC14" s="76">
        <v>756536806361</v>
      </c>
      <c r="AD14" s="78">
        <f t="shared" si="0"/>
        <v>12077.671540146534</v>
      </c>
      <c r="AE14" s="77">
        <v>540392423513</v>
      </c>
      <c r="AF14" s="77">
        <v>43336085191</v>
      </c>
      <c r="AG14" s="77">
        <v>244419091918</v>
      </c>
      <c r="AH14" s="77">
        <v>76799106801</v>
      </c>
      <c r="AI14" s="76">
        <v>93132277381</v>
      </c>
      <c r="AJ14" s="76">
        <v>40182749193</v>
      </c>
      <c r="AK14" s="76">
        <v>1010937094412</v>
      </c>
      <c r="AL14" s="76">
        <v>539992423513</v>
      </c>
      <c r="AM14" s="75">
        <v>0.14699999999999999</v>
      </c>
      <c r="AN14" s="76">
        <v>339706421868</v>
      </c>
      <c r="AO14" s="76">
        <v>3568046000</v>
      </c>
      <c r="AP14" s="79">
        <v>1624</v>
      </c>
      <c r="AQ14" s="74">
        <v>781</v>
      </c>
      <c r="AR14" s="77">
        <v>147821117676</v>
      </c>
      <c r="AS14" s="74">
        <v>21</v>
      </c>
      <c r="AT14" s="17"/>
      <c r="AU14" s="17"/>
    </row>
    <row r="15" spans="1:47" ht="15" customHeight="1" x14ac:dyDescent="0.3">
      <c r="A15" s="73">
        <v>3</v>
      </c>
      <c r="B15" s="73" t="s">
        <v>53</v>
      </c>
      <c r="C15" s="73" t="s">
        <v>54</v>
      </c>
      <c r="D15" s="73">
        <v>2023</v>
      </c>
      <c r="E15" s="74" t="s">
        <v>55</v>
      </c>
      <c r="F15" s="75">
        <v>8.5199999999999998E-2</v>
      </c>
      <c r="G15" s="75">
        <v>0</v>
      </c>
      <c r="H15" s="75">
        <v>0.40360000000000001</v>
      </c>
      <c r="I15" s="75">
        <v>5.5500000000000001E-2</v>
      </c>
      <c r="J15" s="76">
        <v>74139150</v>
      </c>
      <c r="K15" s="76">
        <v>2003771691737</v>
      </c>
      <c r="L15" s="76">
        <v>1999018969809</v>
      </c>
      <c r="M15" s="76">
        <v>1365234331066</v>
      </c>
      <c r="N15" s="76">
        <v>75385086417</v>
      </c>
      <c r="O15" s="76">
        <v>53649333151</v>
      </c>
      <c r="P15" s="76">
        <v>1340230128</v>
      </c>
      <c r="Q15" s="76">
        <v>106932729472</v>
      </c>
      <c r="R15" s="76">
        <v>89289479529</v>
      </c>
      <c r="S15" s="76">
        <v>592740275902</v>
      </c>
      <c r="T15" s="76"/>
      <c r="U15" s="76"/>
      <c r="V15" s="76"/>
      <c r="W15" s="76">
        <v>59549957591</v>
      </c>
      <c r="X15" s="76">
        <v>1777625328730</v>
      </c>
      <c r="Y15" s="74">
        <v>1</v>
      </c>
      <c r="Z15" s="74">
        <v>1</v>
      </c>
      <c r="AA15" s="77">
        <v>89260672511</v>
      </c>
      <c r="AB15" s="77">
        <v>853263703541</v>
      </c>
      <c r="AC15" s="76">
        <f>74139150* 10000</f>
        <v>741391500000</v>
      </c>
      <c r="AD15" s="78">
        <f t="shared" si="0"/>
        <v>10000</v>
      </c>
      <c r="AE15" s="77">
        <v>511970627525</v>
      </c>
      <c r="AF15" s="77">
        <v>302502532812</v>
      </c>
      <c r="AG15" s="77">
        <v>366442437510</v>
      </c>
      <c r="AH15" s="77">
        <v>409615314742</v>
      </c>
      <c r="AI15" s="76">
        <v>301790483392</v>
      </c>
      <c r="AJ15" s="76">
        <v>0</v>
      </c>
      <c r="AK15" s="76">
        <v>1008672591705</v>
      </c>
      <c r="AL15" s="76">
        <v>511970627525</v>
      </c>
      <c r="AM15" s="75">
        <v>8.7999999999999995E-2</v>
      </c>
      <c r="AN15" s="76">
        <v>358852793003</v>
      </c>
      <c r="AO15" s="76">
        <v>150119000</v>
      </c>
      <c r="AP15" s="79">
        <v>1259</v>
      </c>
      <c r="AQ15" s="74">
        <v>792</v>
      </c>
      <c r="AR15" s="77">
        <v>227348868966</v>
      </c>
      <c r="AS15" s="74">
        <v>20</v>
      </c>
      <c r="AT15" s="17"/>
      <c r="AU15" s="17"/>
    </row>
    <row r="16" spans="1:47" ht="15" customHeight="1" x14ac:dyDescent="0.3">
      <c r="A16" s="73">
        <v>3</v>
      </c>
      <c r="B16" s="73" t="s">
        <v>53</v>
      </c>
      <c r="C16" s="73" t="s">
        <v>54</v>
      </c>
      <c r="D16" s="73">
        <v>2024</v>
      </c>
      <c r="E16" s="74" t="s">
        <v>55</v>
      </c>
      <c r="F16" s="75">
        <v>4.0099999999999997E-2</v>
      </c>
      <c r="G16" s="75">
        <v>0</v>
      </c>
      <c r="H16" s="75">
        <v>0.51049999999999995</v>
      </c>
      <c r="I16" s="75">
        <v>0.1295</v>
      </c>
      <c r="J16" s="76">
        <v>82193500</v>
      </c>
      <c r="K16" s="76">
        <v>2146126960274</v>
      </c>
      <c r="L16" s="76">
        <v>2142199167366</v>
      </c>
      <c r="M16" s="76">
        <v>1564839261272</v>
      </c>
      <c r="N16" s="76">
        <v>83181714621</v>
      </c>
      <c r="O16" s="76">
        <v>63856779620</v>
      </c>
      <c r="P16" s="76">
        <v>1106245281</v>
      </c>
      <c r="Q16" s="76">
        <v>102382917381</v>
      </c>
      <c r="R16" s="76">
        <v>113310457067</v>
      </c>
      <c r="S16" s="76">
        <v>664897658400</v>
      </c>
      <c r="T16" s="76"/>
      <c r="U16" s="76"/>
      <c r="V16" s="76"/>
      <c r="W16" s="76">
        <v>71261218411</v>
      </c>
      <c r="X16" s="76">
        <v>1884288756917</v>
      </c>
      <c r="Y16" s="74">
        <v>0</v>
      </c>
      <c r="Z16" s="74">
        <v>1</v>
      </c>
      <c r="AA16" s="77">
        <v>91569757940</v>
      </c>
      <c r="AB16" s="77">
        <v>1147360542695</v>
      </c>
      <c r="AC16" s="76">
        <f>82193500 * 10000</f>
        <v>821935000000</v>
      </c>
      <c r="AD16" s="78">
        <f t="shared" si="0"/>
        <v>10000</v>
      </c>
      <c r="AE16" s="77">
        <v>417478718577</v>
      </c>
      <c r="AF16" s="77">
        <v>100323242062</v>
      </c>
      <c r="AG16" s="77">
        <v>93385127330</v>
      </c>
      <c r="AH16" s="77">
        <v>125767270628</v>
      </c>
      <c r="AI16" s="76">
        <v>90269672873</v>
      </c>
      <c r="AJ16" s="76">
        <v>0</v>
      </c>
      <c r="AK16" s="76">
        <v>924861085892</v>
      </c>
      <c r="AL16" s="76">
        <v>417478718577</v>
      </c>
      <c r="AM16" s="75">
        <v>7.1599999999999997E-2</v>
      </c>
      <c r="AN16" s="76">
        <v>358558115110</v>
      </c>
      <c r="AO16" s="76">
        <v>37069575000</v>
      </c>
      <c r="AP16" s="79">
        <v>1144</v>
      </c>
      <c r="AQ16" s="74">
        <v>780</v>
      </c>
      <c r="AR16" s="77">
        <v>536002502825</v>
      </c>
      <c r="AS16" s="74">
        <v>19</v>
      </c>
      <c r="AT16" s="17"/>
      <c r="AU16" s="17"/>
    </row>
    <row r="17" spans="1:47" ht="15" customHeight="1" x14ac:dyDescent="0.3">
      <c r="A17" s="67">
        <v>4</v>
      </c>
      <c r="B17" s="67" t="s">
        <v>56</v>
      </c>
      <c r="C17" s="67" t="s">
        <v>57</v>
      </c>
      <c r="D17" s="67">
        <v>2020</v>
      </c>
      <c r="E17" s="68" t="s">
        <v>51</v>
      </c>
      <c r="F17" s="69">
        <v>9.5999999999999992E-3</v>
      </c>
      <c r="G17" s="69">
        <v>0</v>
      </c>
      <c r="H17" s="69">
        <v>0.43709999999999999</v>
      </c>
      <c r="I17" s="69">
        <v>0.57589999999999997</v>
      </c>
      <c r="J17" s="80">
        <v>87654444</v>
      </c>
      <c r="K17" s="70">
        <v>3770219866425</v>
      </c>
      <c r="L17" s="70">
        <v>3753596225862</v>
      </c>
      <c r="M17" s="70">
        <v>4453117612700</v>
      </c>
      <c r="N17" s="70">
        <v>452463385748</v>
      </c>
      <c r="O17" s="70">
        <v>148243689965</v>
      </c>
      <c r="P17" s="70">
        <v>44912427618</v>
      </c>
      <c r="Q17" s="70">
        <v>151025048246</v>
      </c>
      <c r="R17" s="70">
        <v>585394032535</v>
      </c>
      <c r="S17" s="70">
        <v>2012871306435</v>
      </c>
      <c r="T17" s="70"/>
      <c r="U17" s="70"/>
      <c r="V17" s="70"/>
      <c r="W17" s="70">
        <v>219030158423</v>
      </c>
      <c r="X17" s="70">
        <v>2571428175753</v>
      </c>
      <c r="Y17" s="68">
        <v>1</v>
      </c>
      <c r="Z17" s="68">
        <v>1</v>
      </c>
      <c r="AA17" s="71">
        <v>491735613251</v>
      </c>
      <c r="AB17" s="71">
        <v>3618397689873</v>
      </c>
      <c r="AC17" s="70" t="s">
        <v>58</v>
      </c>
      <c r="AD17" s="12" t="s">
        <v>58</v>
      </c>
      <c r="AE17" s="71">
        <v>834719922827</v>
      </c>
      <c r="AF17" s="71">
        <v>583567925753</v>
      </c>
      <c r="AG17" s="71">
        <v>15783543141</v>
      </c>
      <c r="AH17" s="71">
        <v>583143265772</v>
      </c>
      <c r="AI17" s="70">
        <v>53239217833</v>
      </c>
      <c r="AJ17" s="70">
        <v>0</v>
      </c>
      <c r="AK17" s="70">
        <v>3588399748702</v>
      </c>
      <c r="AL17" s="70">
        <v>808675241670</v>
      </c>
      <c r="AM17" s="69">
        <v>0.15010000000000001</v>
      </c>
      <c r="AN17" s="70">
        <v>1132964681719</v>
      </c>
      <c r="AO17" s="70">
        <v>321936565000</v>
      </c>
      <c r="AP17" s="72">
        <v>5454</v>
      </c>
      <c r="AQ17" s="68">
        <v>2146</v>
      </c>
      <c r="AR17" s="71">
        <v>615103068586</v>
      </c>
      <c r="AS17" s="68">
        <v>26</v>
      </c>
      <c r="AT17" s="17"/>
      <c r="AU17" s="17"/>
    </row>
    <row r="18" spans="1:47" ht="15" customHeight="1" x14ac:dyDescent="0.3">
      <c r="A18" s="67">
        <v>4</v>
      </c>
      <c r="B18" s="67" t="s">
        <v>56</v>
      </c>
      <c r="C18" s="67" t="s">
        <v>57</v>
      </c>
      <c r="D18" s="67">
        <v>2021</v>
      </c>
      <c r="E18" s="68" t="s">
        <v>51</v>
      </c>
      <c r="F18" s="69">
        <v>8.2000000000000007E-3</v>
      </c>
      <c r="G18" s="69">
        <v>0</v>
      </c>
      <c r="H18" s="69">
        <v>0.4219</v>
      </c>
      <c r="I18" s="69">
        <v>0.12690000000000001</v>
      </c>
      <c r="J18" s="70">
        <v>87654444</v>
      </c>
      <c r="K18" s="70">
        <v>3303492204665</v>
      </c>
      <c r="L18" s="70">
        <v>3291683475253</v>
      </c>
      <c r="M18" s="70">
        <v>4982919025724</v>
      </c>
      <c r="N18" s="70">
        <v>414502793125</v>
      </c>
      <c r="O18" s="70">
        <v>148887653486</v>
      </c>
      <c r="P18" s="70">
        <v>16601715399</v>
      </c>
      <c r="Q18" s="70">
        <v>132844755939</v>
      </c>
      <c r="R18" s="70">
        <v>560835549463</v>
      </c>
      <c r="S18" s="70">
        <v>1705590219014</v>
      </c>
      <c r="T18" s="70"/>
      <c r="U18" s="70"/>
      <c r="V18" s="70"/>
      <c r="W18" s="70">
        <v>191954020916</v>
      </c>
      <c r="X18" s="70">
        <v>2213784095539</v>
      </c>
      <c r="Y18" s="68">
        <v>1</v>
      </c>
      <c r="Z18" s="68">
        <v>1</v>
      </c>
      <c r="AA18" s="71">
        <v>451343344026</v>
      </c>
      <c r="AB18" s="71">
        <v>3837794613628</v>
      </c>
      <c r="AC18" s="70">
        <v>6679268632800</v>
      </c>
      <c r="AD18" s="12">
        <f t="shared" ref="AD18:AD21" si="2">AC18/J18</f>
        <v>76200</v>
      </c>
      <c r="AE18" s="71">
        <v>1145124412096</v>
      </c>
      <c r="AF18" s="71">
        <v>421139380198</v>
      </c>
      <c r="AG18" s="71">
        <v>10592515894</v>
      </c>
      <c r="AH18" s="71">
        <v>-307563050231</v>
      </c>
      <c r="AI18" s="70">
        <v>99169609256</v>
      </c>
      <c r="AJ18" s="70">
        <v>0</v>
      </c>
      <c r="AK18" s="70">
        <v>3650800848248</v>
      </c>
      <c r="AL18" s="70">
        <v>1123635817518</v>
      </c>
      <c r="AM18" s="69">
        <v>-0.123</v>
      </c>
      <c r="AN18" s="70">
        <v>1380301310465</v>
      </c>
      <c r="AO18" s="70">
        <v>224520407000</v>
      </c>
      <c r="AP18" s="72">
        <v>4846</v>
      </c>
      <c r="AQ18" s="68">
        <v>1990</v>
      </c>
      <c r="AR18" s="71">
        <v>518159318784</v>
      </c>
      <c r="AS18" s="68">
        <v>27</v>
      </c>
      <c r="AT18" s="17"/>
      <c r="AU18" s="17"/>
    </row>
    <row r="19" spans="1:47" ht="15" customHeight="1" x14ac:dyDescent="0.3">
      <c r="A19" s="67">
        <v>4</v>
      </c>
      <c r="B19" s="67" t="s">
        <v>56</v>
      </c>
      <c r="C19" s="67" t="s">
        <v>57</v>
      </c>
      <c r="D19" s="67">
        <v>2022</v>
      </c>
      <c r="E19" s="68" t="s">
        <v>51</v>
      </c>
      <c r="F19" s="69">
        <v>5.6300000000000003E-2</v>
      </c>
      <c r="G19" s="69">
        <v>0</v>
      </c>
      <c r="H19" s="69">
        <v>0.4284</v>
      </c>
      <c r="I19" s="69">
        <v>6.7799999999999999E-2</v>
      </c>
      <c r="J19" s="70">
        <v>135846122</v>
      </c>
      <c r="K19" s="70">
        <v>4504144505316</v>
      </c>
      <c r="L19" s="70">
        <v>4475478443906</v>
      </c>
      <c r="M19" s="70">
        <v>5466547195358</v>
      </c>
      <c r="N19" s="70">
        <v>547870944173</v>
      </c>
      <c r="O19" s="70">
        <v>167893855307</v>
      </c>
      <c r="P19" s="70">
        <v>13959143716</v>
      </c>
      <c r="Q19" s="70">
        <v>182740263385</v>
      </c>
      <c r="R19" s="70">
        <v>748528317352</v>
      </c>
      <c r="S19" s="70">
        <v>2871343851502</v>
      </c>
      <c r="T19" s="70"/>
      <c r="U19" s="70"/>
      <c r="V19" s="70"/>
      <c r="W19" s="70">
        <v>253139366882</v>
      </c>
      <c r="X19" s="70">
        <v>3559316698656</v>
      </c>
      <c r="Y19" s="68">
        <v>1</v>
      </c>
      <c r="Z19" s="68">
        <v>1</v>
      </c>
      <c r="AA19" s="71">
        <v>615581335036</v>
      </c>
      <c r="AB19" s="71">
        <v>3968846387060</v>
      </c>
      <c r="AC19" s="70">
        <v>5243660309200</v>
      </c>
      <c r="AD19" s="12">
        <f t="shared" si="2"/>
        <v>38600</v>
      </c>
      <c r="AE19" s="71">
        <v>1497700808298</v>
      </c>
      <c r="AF19" s="71">
        <v>151525997864</v>
      </c>
      <c r="AG19" s="71">
        <v>41926679549</v>
      </c>
      <c r="AH19" s="71">
        <v>53638202517</v>
      </c>
      <c r="AI19" s="70">
        <v>99169609256</v>
      </c>
      <c r="AJ19" s="70">
        <v>0</v>
      </c>
      <c r="AK19" s="70">
        <v>3839450781144</v>
      </c>
      <c r="AL19" s="70">
        <v>1478546124508</v>
      </c>
      <c r="AM19" s="69">
        <v>0.35970000000000002</v>
      </c>
      <c r="AN19" s="70">
        <v>1555543026743</v>
      </c>
      <c r="AO19" s="70">
        <v>216743781000</v>
      </c>
      <c r="AP19" s="72">
        <v>3342</v>
      </c>
      <c r="AQ19" s="68">
        <v>2276</v>
      </c>
      <c r="AR19" s="71">
        <v>460714771239</v>
      </c>
      <c r="AS19" s="68">
        <v>28</v>
      </c>
      <c r="AT19" s="17"/>
      <c r="AU19" s="17"/>
    </row>
    <row r="20" spans="1:47" ht="15" customHeight="1" x14ac:dyDescent="0.3">
      <c r="A20" s="67">
        <v>4</v>
      </c>
      <c r="B20" s="67" t="s">
        <v>56</v>
      </c>
      <c r="C20" s="67" t="s">
        <v>57</v>
      </c>
      <c r="D20" s="67">
        <v>2023</v>
      </c>
      <c r="E20" s="68" t="s">
        <v>51</v>
      </c>
      <c r="F20" s="69">
        <v>0.13719999999999999</v>
      </c>
      <c r="G20" s="69">
        <v>0</v>
      </c>
      <c r="H20" s="69">
        <v>0.33019999999999999</v>
      </c>
      <c r="I20" s="69">
        <v>2.1899999999999999E-2</v>
      </c>
      <c r="J20" s="70">
        <v>150846122</v>
      </c>
      <c r="K20" s="70">
        <v>3804245657803</v>
      </c>
      <c r="L20" s="70">
        <v>3762699665651</v>
      </c>
      <c r="M20" s="70">
        <v>5510650570889</v>
      </c>
      <c r="N20" s="70">
        <v>522386144114</v>
      </c>
      <c r="O20" s="70">
        <v>172404565592</v>
      </c>
      <c r="P20" s="70">
        <v>11624467139</v>
      </c>
      <c r="Q20" s="70">
        <v>173504112330</v>
      </c>
      <c r="R20" s="70">
        <v>528884386566</v>
      </c>
      <c r="S20" s="70">
        <v>2167520448135</v>
      </c>
      <c r="T20" s="70"/>
      <c r="U20" s="70"/>
      <c r="V20" s="70"/>
      <c r="W20" s="70">
        <v>235122501614</v>
      </c>
      <c r="X20" s="70">
        <v>2854388120465</v>
      </c>
      <c r="Y20" s="68">
        <v>0</v>
      </c>
      <c r="Z20" s="68">
        <v>1</v>
      </c>
      <c r="AA20" s="71">
        <v>436573456863</v>
      </c>
      <c r="AB20" s="71">
        <v>4153090620359</v>
      </c>
      <c r="AC20" s="70">
        <v>5430460392000</v>
      </c>
      <c r="AD20" s="12">
        <f t="shared" si="2"/>
        <v>36000</v>
      </c>
      <c r="AE20" s="71">
        <v>1357559950530</v>
      </c>
      <c r="AF20" s="71">
        <v>625120556740</v>
      </c>
      <c r="AG20" s="71">
        <v>26450125440</v>
      </c>
      <c r="AH20" s="71">
        <v>-325410220330</v>
      </c>
      <c r="AI20" s="70">
        <v>66882261518</v>
      </c>
      <c r="AJ20" s="70">
        <v>0</v>
      </c>
      <c r="AK20" s="70">
        <v>4131503386110</v>
      </c>
      <c r="AL20" s="70">
        <v>1332410620880</v>
      </c>
      <c r="AM20" s="69">
        <v>-0.1593</v>
      </c>
      <c r="AN20" s="70">
        <v>1173995384661</v>
      </c>
      <c r="AO20" s="70">
        <v>201245660000</v>
      </c>
      <c r="AP20" s="72">
        <v>2873</v>
      </c>
      <c r="AQ20" s="68">
        <v>2150</v>
      </c>
      <c r="AR20" s="71">
        <v>414264624333</v>
      </c>
      <c r="AS20" s="68">
        <v>29</v>
      </c>
      <c r="AT20" s="17"/>
      <c r="AU20" s="17"/>
    </row>
    <row r="21" spans="1:47" ht="15" customHeight="1" x14ac:dyDescent="0.3">
      <c r="A21" s="67">
        <v>4</v>
      </c>
      <c r="B21" s="67" t="s">
        <v>56</v>
      </c>
      <c r="C21" s="67" t="s">
        <v>57</v>
      </c>
      <c r="D21" s="67">
        <v>2024</v>
      </c>
      <c r="E21" s="68" t="s">
        <v>51</v>
      </c>
      <c r="F21" s="69">
        <v>0.1211</v>
      </c>
      <c r="G21" s="69">
        <v>0</v>
      </c>
      <c r="H21" s="69"/>
      <c r="I21" s="69"/>
      <c r="J21" s="70">
        <v>150846122</v>
      </c>
      <c r="K21" s="70">
        <v>4025384086235</v>
      </c>
      <c r="L21" s="70">
        <v>3980864021638</v>
      </c>
      <c r="M21" s="70">
        <v>5684250315480</v>
      </c>
      <c r="N21" s="70">
        <v>493929593506</v>
      </c>
      <c r="O21" s="70">
        <v>163625455982</v>
      </c>
      <c r="P21" s="70">
        <v>9850124560</v>
      </c>
      <c r="Q21" s="70">
        <v>168450320450</v>
      </c>
      <c r="R21" s="70">
        <v>563428317352</v>
      </c>
      <c r="S21" s="70">
        <v>2245360124560</v>
      </c>
      <c r="T21" s="70"/>
      <c r="U21" s="70"/>
      <c r="V21" s="70"/>
      <c r="W21" s="70">
        <v>215420124560</v>
      </c>
      <c r="X21" s="70">
        <v>2950320456120</v>
      </c>
      <c r="Y21" s="68">
        <v>1</v>
      </c>
      <c r="Z21" s="68">
        <v>1</v>
      </c>
      <c r="AA21" s="71">
        <v>468356124560</v>
      </c>
      <c r="AB21" s="71">
        <v>468356124560</v>
      </c>
      <c r="AC21" s="70">
        <v>6486383246000</v>
      </c>
      <c r="AD21" s="12">
        <f t="shared" si="2"/>
        <v>43000</v>
      </c>
      <c r="AE21" s="71">
        <v>1332145747245</v>
      </c>
      <c r="AF21" s="71">
        <v>715420365120</v>
      </c>
      <c r="AG21" s="71">
        <v>32450124560</v>
      </c>
      <c r="AH21" s="71">
        <v>-358420124560</v>
      </c>
      <c r="AI21" s="70">
        <v>155329618175</v>
      </c>
      <c r="AJ21" s="70">
        <v>0</v>
      </c>
      <c r="AK21" s="70">
        <v>4119782891159</v>
      </c>
      <c r="AL21" s="70">
        <v>1315420124560</v>
      </c>
      <c r="AM21" s="81">
        <v>0.50800000000000001</v>
      </c>
      <c r="AN21" s="70">
        <v>1135420124560</v>
      </c>
      <c r="AO21" s="70">
        <v>225410235000</v>
      </c>
      <c r="AP21" s="72">
        <v>3105</v>
      </c>
      <c r="AQ21" s="68">
        <v>2180</v>
      </c>
      <c r="AR21" s="71">
        <v>372410220330</v>
      </c>
      <c r="AS21" s="68">
        <v>30</v>
      </c>
      <c r="AT21" s="17"/>
      <c r="AU21" s="17"/>
    </row>
    <row r="22" spans="1:47" ht="15" customHeight="1" x14ac:dyDescent="0.3">
      <c r="A22" s="20">
        <v>5</v>
      </c>
      <c r="B22" s="20" t="s">
        <v>59</v>
      </c>
      <c r="C22" s="20" t="s">
        <v>60</v>
      </c>
      <c r="D22" s="20">
        <v>2020</v>
      </c>
      <c r="E22" s="18" t="s">
        <v>61</v>
      </c>
      <c r="F22" s="21">
        <v>0.16470000000000001</v>
      </c>
      <c r="G22" s="21">
        <v>0</v>
      </c>
      <c r="H22" s="21">
        <v>0.41830000000000001</v>
      </c>
      <c r="I22" s="21">
        <v>2.0199999999999999E-2</v>
      </c>
      <c r="J22" s="13">
        <v>11500000</v>
      </c>
      <c r="K22" s="13">
        <v>4931403190138</v>
      </c>
      <c r="L22" s="13">
        <v>4922447075019</v>
      </c>
      <c r="M22" s="13">
        <v>4026011671734</v>
      </c>
      <c r="N22" s="13">
        <v>836341022696</v>
      </c>
      <c r="O22" s="13">
        <v>184614932050</v>
      </c>
      <c r="P22" s="13">
        <v>64049396936</v>
      </c>
      <c r="Q22" s="13">
        <v>1266798457146</v>
      </c>
      <c r="R22" s="13">
        <v>435653456665</v>
      </c>
      <c r="S22" s="13">
        <v>2226972951192</v>
      </c>
      <c r="T22" s="22"/>
      <c r="U22" s="14">
        <v>3237339664814</v>
      </c>
      <c r="V22" s="18">
        <v>0</v>
      </c>
      <c r="W22" s="13">
        <v>503427768357</v>
      </c>
      <c r="X22" s="13">
        <v>3414540925840</v>
      </c>
      <c r="Y22" s="18">
        <v>1</v>
      </c>
      <c r="Z22" s="18">
        <v>1</v>
      </c>
      <c r="AA22" s="13">
        <v>435653456465</v>
      </c>
      <c r="AB22" s="13">
        <v>1079307837285</v>
      </c>
      <c r="AC22" s="14">
        <f t="shared" ref="AC22:AC26" si="3">AD22*J22</f>
        <v>994865000000</v>
      </c>
      <c r="AD22" s="13">
        <v>86510</v>
      </c>
      <c r="AE22" s="13">
        <v>2946703834449</v>
      </c>
      <c r="AF22" s="13">
        <v>8187251368</v>
      </c>
      <c r="AG22" s="13">
        <v>88435455741</v>
      </c>
      <c r="AH22" s="13">
        <v>-83163841668</v>
      </c>
      <c r="AI22" s="14">
        <v>979359432981</v>
      </c>
      <c r="AJ22" s="14">
        <v>837486394</v>
      </c>
      <c r="AK22" s="14">
        <v>3731062011987</v>
      </c>
      <c r="AL22" s="14">
        <v>2945866348055</v>
      </c>
      <c r="AM22" s="21">
        <v>0.15670000000000001</v>
      </c>
      <c r="AN22" s="14">
        <v>656755318526</v>
      </c>
      <c r="AO22" s="14">
        <v>57500000000</v>
      </c>
      <c r="AP22" s="22">
        <v>29224.55</v>
      </c>
      <c r="AQ22" s="13">
        <v>2183</v>
      </c>
      <c r="AR22" s="13">
        <v>226485817759</v>
      </c>
      <c r="AS22" s="18">
        <v>59</v>
      </c>
      <c r="AT22" s="17"/>
      <c r="AU22" s="17"/>
    </row>
    <row r="23" spans="1:47" ht="15" customHeight="1" x14ac:dyDescent="0.3">
      <c r="A23" s="23">
        <v>5</v>
      </c>
      <c r="B23" s="18" t="s">
        <v>59</v>
      </c>
      <c r="C23" s="18" t="s">
        <v>60</v>
      </c>
      <c r="D23" s="23">
        <v>2021</v>
      </c>
      <c r="E23" s="18" t="s">
        <v>61</v>
      </c>
      <c r="F23" s="21">
        <v>0.16470000000000001</v>
      </c>
      <c r="G23" s="21">
        <v>0</v>
      </c>
      <c r="H23" s="21">
        <v>0.4355</v>
      </c>
      <c r="I23" s="21">
        <v>4.1700000000000001E-2</v>
      </c>
      <c r="J23" s="13">
        <v>12075000</v>
      </c>
      <c r="K23" s="13">
        <v>5719831842957</v>
      </c>
      <c r="L23" s="13">
        <v>5709067834888</v>
      </c>
      <c r="M23" s="13">
        <v>5392296916367</v>
      </c>
      <c r="N23" s="13">
        <v>920549799183</v>
      </c>
      <c r="O23" s="13">
        <v>210050518780</v>
      </c>
      <c r="P23" s="13">
        <v>70048175720</v>
      </c>
      <c r="Q23" s="13">
        <v>1307098722571</v>
      </c>
      <c r="R23" s="13">
        <v>501989722766</v>
      </c>
      <c r="S23" s="13">
        <v>2752378007310</v>
      </c>
      <c r="T23" s="22"/>
      <c r="U23" s="14">
        <v>4063606631858</v>
      </c>
      <c r="V23" s="18">
        <v>0</v>
      </c>
      <c r="W23" s="13">
        <v>439917879835</v>
      </c>
      <c r="X23" s="13">
        <v>4027369313094</v>
      </c>
      <c r="Y23" s="18">
        <v>1</v>
      </c>
      <c r="Z23" s="18">
        <v>1</v>
      </c>
      <c r="AA23" s="13">
        <v>398241654270</v>
      </c>
      <c r="AB23" s="13">
        <v>1369091421835</v>
      </c>
      <c r="AC23" s="14">
        <f t="shared" si="3"/>
        <v>1360912875000</v>
      </c>
      <c r="AD23" s="13">
        <v>112705</v>
      </c>
      <c r="AE23" s="13">
        <v>4023205494532</v>
      </c>
      <c r="AF23" s="13">
        <v>-238326791592</v>
      </c>
      <c r="AG23" s="13">
        <v>216019560632</v>
      </c>
      <c r="AH23" s="13">
        <v>-214070985946</v>
      </c>
      <c r="AI23" s="14">
        <v>950131220987</v>
      </c>
      <c r="AJ23" s="14">
        <v>837486394</v>
      </c>
      <c r="AK23" s="14">
        <v>4977553982474</v>
      </c>
      <c r="AL23" s="14">
        <v>4022368008138</v>
      </c>
      <c r="AM23" s="21">
        <v>0.1598</v>
      </c>
      <c r="AN23" s="14">
        <v>692992637290</v>
      </c>
      <c r="AO23" s="14">
        <v>30187500000</v>
      </c>
      <c r="AP23" s="22">
        <v>33369</v>
      </c>
      <c r="AQ23" s="13">
        <v>2203</v>
      </c>
      <c r="AR23" s="13">
        <v>217669292885</v>
      </c>
      <c r="AS23" s="18">
        <v>60</v>
      </c>
      <c r="AT23" s="17"/>
      <c r="AU23" s="17"/>
    </row>
    <row r="24" spans="1:47" ht="15" customHeight="1" x14ac:dyDescent="0.3">
      <c r="A24" s="20">
        <v>5</v>
      </c>
      <c r="B24" s="20" t="s">
        <v>59</v>
      </c>
      <c r="C24" s="20" t="s">
        <v>60</v>
      </c>
      <c r="D24" s="20">
        <v>2022</v>
      </c>
      <c r="E24" s="18" t="s">
        <v>61</v>
      </c>
      <c r="F24" s="21">
        <v>4.3400000000000001E-2</v>
      </c>
      <c r="G24" s="21">
        <v>0</v>
      </c>
      <c r="H24" s="21">
        <v>0.437</v>
      </c>
      <c r="I24" s="21">
        <v>3.4000000000000002E-2</v>
      </c>
      <c r="J24" s="13">
        <v>22947419</v>
      </c>
      <c r="K24" s="13">
        <v>6927563526355</v>
      </c>
      <c r="L24" s="13">
        <v>6909236263291</v>
      </c>
      <c r="M24" s="13">
        <v>6716483094288</v>
      </c>
      <c r="N24" s="13">
        <v>996655907796</v>
      </c>
      <c r="O24" s="13">
        <v>147105664049</v>
      </c>
      <c r="P24" s="13">
        <v>73385603438</v>
      </c>
      <c r="Q24" s="13">
        <v>1685063913052</v>
      </c>
      <c r="R24" s="13">
        <v>610919640872</v>
      </c>
      <c r="S24" s="13">
        <v>3594146883712</v>
      </c>
      <c r="T24" s="22"/>
      <c r="U24" s="14">
        <v>5343466652642</v>
      </c>
      <c r="V24" s="18">
        <v>0</v>
      </c>
      <c r="W24" s="13">
        <v>843406112730</v>
      </c>
      <c r="X24" s="13">
        <v>5074555400953</v>
      </c>
      <c r="Y24" s="18">
        <v>1</v>
      </c>
      <c r="Z24" s="18">
        <v>1</v>
      </c>
      <c r="AA24" s="13">
        <v>485827389583</v>
      </c>
      <c r="AB24" s="13">
        <v>2621694793680</v>
      </c>
      <c r="AC24" s="14">
        <f t="shared" si="3"/>
        <v>1543604033873</v>
      </c>
      <c r="AD24" s="13">
        <v>67267</v>
      </c>
      <c r="AE24" s="13">
        <v>4094788300608</v>
      </c>
      <c r="AF24" s="13">
        <v>-930565247832</v>
      </c>
      <c r="AG24" s="13">
        <v>113172246064</v>
      </c>
      <c r="AH24" s="13">
        <v>-100508582843</v>
      </c>
      <c r="AI24" s="14">
        <v>795984374181</v>
      </c>
      <c r="AJ24" s="14">
        <v>837486394</v>
      </c>
      <c r="AK24" s="14">
        <v>6287008310624</v>
      </c>
      <c r="AL24" s="14">
        <v>4093950814214</v>
      </c>
      <c r="AM24" s="21">
        <v>0.2102</v>
      </c>
      <c r="AN24" s="14">
        <v>961903888979</v>
      </c>
      <c r="AO24" s="14">
        <v>144924595000</v>
      </c>
      <c r="AP24" s="22">
        <v>25564</v>
      </c>
      <c r="AQ24" s="13">
        <v>2388</v>
      </c>
      <c r="AR24" s="13">
        <v>227673217829</v>
      </c>
      <c r="AS24" s="18">
        <v>61</v>
      </c>
      <c r="AT24" s="17"/>
      <c r="AU24" s="17"/>
    </row>
    <row r="25" spans="1:47" ht="15" customHeight="1" x14ac:dyDescent="0.3">
      <c r="A25" s="20">
        <v>5</v>
      </c>
      <c r="B25" s="20" t="s">
        <v>59</v>
      </c>
      <c r="C25" s="20" t="s">
        <v>60</v>
      </c>
      <c r="D25" s="20">
        <v>2023</v>
      </c>
      <c r="E25" s="18" t="s">
        <v>61</v>
      </c>
      <c r="F25" s="21">
        <v>4.3799999999999999E-2</v>
      </c>
      <c r="G25" s="21">
        <v>0</v>
      </c>
      <c r="H25" s="21">
        <v>0.42099999999999999</v>
      </c>
      <c r="I25" s="21">
        <v>2.1999999999999999E-2</v>
      </c>
      <c r="J25" s="13">
        <v>23547419</v>
      </c>
      <c r="K25" s="13">
        <v>8330265110752</v>
      </c>
      <c r="L25" s="13">
        <v>8316322039643</v>
      </c>
      <c r="M25" s="13">
        <v>7751688239828</v>
      </c>
      <c r="N25" s="13">
        <v>1125976090607</v>
      </c>
      <c r="O25" s="13">
        <v>159005437013</v>
      </c>
      <c r="P25" s="13">
        <v>86017317098</v>
      </c>
      <c r="Q25" s="13">
        <v>2030398924297</v>
      </c>
      <c r="R25" s="13">
        <v>618208441477</v>
      </c>
      <c r="S25" s="13">
        <v>4596512018140</v>
      </c>
      <c r="T25" s="22"/>
      <c r="U25" s="14">
        <v>6616405160646</v>
      </c>
      <c r="V25" s="18">
        <v>0</v>
      </c>
      <c r="W25" s="13">
        <v>954322200174</v>
      </c>
      <c r="X25" s="13">
        <v>7866426828377</v>
      </c>
      <c r="Y25" s="18">
        <v>1</v>
      </c>
      <c r="Z25" s="18">
        <v>1</v>
      </c>
      <c r="AA25" s="13">
        <v>584271608477</v>
      </c>
      <c r="AB25" s="13">
        <v>2974272459760</v>
      </c>
      <c r="AC25" s="14">
        <f t="shared" si="3"/>
        <v>2339695099259</v>
      </c>
      <c r="AD25" s="13">
        <v>99361</v>
      </c>
      <c r="AE25" s="13">
        <v>4777415780068</v>
      </c>
      <c r="AF25" s="13">
        <v>-589206699479</v>
      </c>
      <c r="AG25" s="13">
        <v>105750210037</v>
      </c>
      <c r="AH25" s="13">
        <v>-98930957612</v>
      </c>
      <c r="AI25" s="14">
        <v>802447024719</v>
      </c>
      <c r="AJ25" s="14">
        <v>837486394</v>
      </c>
      <c r="AK25" s="14">
        <v>7310900417572</v>
      </c>
      <c r="AL25" s="14">
        <v>4776578293674</v>
      </c>
      <c r="AM25" s="21">
        <v>0.20369999999999999</v>
      </c>
      <c r="AN25" s="14">
        <v>1267254847717</v>
      </c>
      <c r="AO25" s="14">
        <v>116237095000</v>
      </c>
      <c r="AP25" s="22">
        <v>25124</v>
      </c>
      <c r="AQ25" s="13">
        <v>2500</v>
      </c>
      <c r="AR25" s="13">
        <v>223633159057</v>
      </c>
      <c r="AS25" s="18">
        <v>62</v>
      </c>
      <c r="AT25" s="17"/>
      <c r="AU25" s="17"/>
    </row>
    <row r="26" spans="1:47" ht="15" customHeight="1" x14ac:dyDescent="0.3">
      <c r="A26" s="20">
        <v>5</v>
      </c>
      <c r="B26" s="20" t="s">
        <v>59</v>
      </c>
      <c r="C26" s="20" t="s">
        <v>60</v>
      </c>
      <c r="D26" s="20">
        <v>2024</v>
      </c>
      <c r="E26" s="18" t="s">
        <v>61</v>
      </c>
      <c r="F26" s="21">
        <v>4.48E-2</v>
      </c>
      <c r="G26" s="21">
        <v>0</v>
      </c>
      <c r="H26" s="21">
        <v>0.42399999999999999</v>
      </c>
      <c r="I26" s="21">
        <v>2.1999999999999999E-2</v>
      </c>
      <c r="J26" s="13">
        <v>23547419</v>
      </c>
      <c r="K26" s="13">
        <v>8413912097362</v>
      </c>
      <c r="L26" s="13">
        <v>8356598448889</v>
      </c>
      <c r="M26" s="13">
        <v>8308862347606</v>
      </c>
      <c r="N26" s="13">
        <v>1067545494647</v>
      </c>
      <c r="O26" s="13">
        <v>117358681158</v>
      </c>
      <c r="P26" s="13">
        <v>83791071378</v>
      </c>
      <c r="Q26" s="13">
        <v>2111368499075</v>
      </c>
      <c r="R26" s="13">
        <v>733390802071</v>
      </c>
      <c r="S26" s="13">
        <v>5134701308502</v>
      </c>
      <c r="T26" s="22"/>
      <c r="U26" s="14">
        <v>6951645130181</v>
      </c>
      <c r="V26" s="18">
        <v>0</v>
      </c>
      <c r="W26" s="13">
        <v>995517688205</v>
      </c>
      <c r="X26" s="13">
        <v>7999271835094</v>
      </c>
      <c r="Y26" s="18">
        <v>1</v>
      </c>
      <c r="Z26" s="18">
        <v>1</v>
      </c>
      <c r="AA26" s="13">
        <v>634507816850</v>
      </c>
      <c r="AB26" s="13">
        <v>3303554061670</v>
      </c>
      <c r="AC26" s="14">
        <f t="shared" si="3"/>
        <v>2732748617207</v>
      </c>
      <c r="AD26" s="13">
        <v>116053</v>
      </c>
      <c r="AE26" s="13">
        <v>5005308285936</v>
      </c>
      <c r="AF26" s="13">
        <v>545608172101</v>
      </c>
      <c r="AG26" s="13">
        <v>125706482519</v>
      </c>
      <c r="AH26" s="13">
        <v>-139803102221</v>
      </c>
      <c r="AI26" s="14">
        <v>1572970195920</v>
      </c>
      <c r="AJ26" s="14">
        <v>837486394</v>
      </c>
      <c r="AK26" s="14">
        <v>7842099023673</v>
      </c>
      <c r="AL26" s="14">
        <v>5004470799542</v>
      </c>
      <c r="AM26" s="21">
        <v>4.7999999999999996E-3</v>
      </c>
      <c r="AN26" s="14">
        <v>1772510037653</v>
      </c>
      <c r="AO26" s="14">
        <v>117737095000</v>
      </c>
      <c r="AP26" s="22">
        <v>25187</v>
      </c>
      <c r="AQ26" s="13">
        <v>2500</v>
      </c>
      <c r="AR26" s="13">
        <v>231899880145</v>
      </c>
      <c r="AS26" s="18">
        <v>63</v>
      </c>
      <c r="AT26" s="17"/>
      <c r="AU26" s="17"/>
    </row>
    <row r="27" spans="1:47" ht="15" customHeight="1" x14ac:dyDescent="0.3">
      <c r="A27" s="82">
        <v>6</v>
      </c>
      <c r="B27" s="82" t="s">
        <v>62</v>
      </c>
      <c r="C27" s="82" t="s">
        <v>63</v>
      </c>
      <c r="D27" s="82">
        <v>2020</v>
      </c>
      <c r="E27" s="83" t="s">
        <v>64</v>
      </c>
      <c r="F27" s="84">
        <v>0.24540000000000001</v>
      </c>
      <c r="G27" s="83"/>
      <c r="H27" s="84"/>
      <c r="I27" s="84">
        <v>1E-4</v>
      </c>
      <c r="J27" s="85">
        <v>28065765</v>
      </c>
      <c r="K27" s="85">
        <v>1383920672941</v>
      </c>
      <c r="L27" s="85">
        <v>1349273288744</v>
      </c>
      <c r="M27" s="85">
        <v>1405343219114</v>
      </c>
      <c r="N27" s="85">
        <v>33923610566</v>
      </c>
      <c r="O27" s="85">
        <v>91365768838</v>
      </c>
      <c r="P27" s="85">
        <v>3615723022</v>
      </c>
      <c r="Q27" s="85">
        <v>187338616739</v>
      </c>
      <c r="R27" s="85">
        <v>90879410649</v>
      </c>
      <c r="S27" s="85">
        <v>460543642943</v>
      </c>
      <c r="T27" s="86"/>
      <c r="U27" s="87">
        <v>1114110792814</v>
      </c>
      <c r="V27" s="85">
        <v>843638283</v>
      </c>
      <c r="W27" s="85">
        <v>39570993006</v>
      </c>
      <c r="X27" s="85">
        <v>766339970445</v>
      </c>
      <c r="Y27" s="83">
        <v>1</v>
      </c>
      <c r="Z27" s="83">
        <v>1</v>
      </c>
      <c r="AA27" s="85">
        <v>73515838382</v>
      </c>
      <c r="AB27" s="85">
        <v>428201596955</v>
      </c>
      <c r="AC27" s="87">
        <v>539844989775</v>
      </c>
      <c r="AD27" s="85">
        <v>19235</v>
      </c>
      <c r="AE27" s="85">
        <v>977141622159</v>
      </c>
      <c r="AF27" s="85">
        <v>-16055423956</v>
      </c>
      <c r="AG27" s="85">
        <v>1719851335</v>
      </c>
      <c r="AH27" s="85">
        <v>-78383828078</v>
      </c>
      <c r="AI27" s="87">
        <v>71274868487</v>
      </c>
      <c r="AJ27" s="87">
        <v>132493066643</v>
      </c>
      <c r="AK27" s="87">
        <v>1049753919446</v>
      </c>
      <c r="AL27" s="87">
        <v>694148555516</v>
      </c>
      <c r="AM27" s="84">
        <v>4.4000000000000003E-3</v>
      </c>
      <c r="AN27" s="87">
        <v>191351365538</v>
      </c>
      <c r="AO27" s="87">
        <v>22450694400</v>
      </c>
      <c r="AP27" s="86">
        <v>2620</v>
      </c>
      <c r="AQ27" s="83">
        <v>848</v>
      </c>
      <c r="AR27" s="85" t="s">
        <v>65</v>
      </c>
      <c r="AS27" s="83">
        <v>60</v>
      </c>
      <c r="AT27" s="17"/>
      <c r="AU27" s="17"/>
    </row>
    <row r="28" spans="1:47" ht="15" customHeight="1" x14ac:dyDescent="0.3">
      <c r="A28" s="82">
        <v>6</v>
      </c>
      <c r="B28" s="82" t="s">
        <v>62</v>
      </c>
      <c r="C28" s="82" t="s">
        <v>63</v>
      </c>
      <c r="D28" s="82">
        <v>2021</v>
      </c>
      <c r="E28" s="83" t="s">
        <v>64</v>
      </c>
      <c r="F28" s="84"/>
      <c r="G28" s="83"/>
      <c r="H28" s="84"/>
      <c r="I28" s="83"/>
      <c r="J28" s="85">
        <v>28065765</v>
      </c>
      <c r="K28" s="85">
        <v>994860378662</v>
      </c>
      <c r="L28" s="85">
        <v>955714877138</v>
      </c>
      <c r="M28" s="85">
        <v>1235371486112</v>
      </c>
      <c r="N28" s="85">
        <v>45589692508</v>
      </c>
      <c r="O28" s="85">
        <v>75216023903</v>
      </c>
      <c r="P28" s="85">
        <v>3432252622</v>
      </c>
      <c r="Q28" s="85">
        <v>153525148498</v>
      </c>
      <c r="R28" s="85">
        <v>52568402357</v>
      </c>
      <c r="S28" s="85">
        <v>626385008037</v>
      </c>
      <c r="T28" s="86"/>
      <c r="U28" s="87">
        <v>875968413742</v>
      </c>
      <c r="V28" s="85">
        <v>8193396448</v>
      </c>
      <c r="W28" s="85">
        <v>39644272579</v>
      </c>
      <c r="X28" s="85">
        <v>895113102741</v>
      </c>
      <c r="Y28" s="83">
        <v>1</v>
      </c>
      <c r="Z28" s="83">
        <v>1</v>
      </c>
      <c r="AA28" s="85">
        <v>40044808538</v>
      </c>
      <c r="AB28" s="85">
        <v>432592953655</v>
      </c>
      <c r="AC28" s="87">
        <v>581662979625</v>
      </c>
      <c r="AD28" s="85">
        <v>20725</v>
      </c>
      <c r="AE28" s="85">
        <v>802778532457</v>
      </c>
      <c r="AF28" s="85">
        <v>163040217623</v>
      </c>
      <c r="AG28" s="85">
        <v>4449560088</v>
      </c>
      <c r="AH28" s="85">
        <v>-287910794398</v>
      </c>
      <c r="AI28" s="87">
        <v>46820437615</v>
      </c>
      <c r="AJ28" s="87">
        <v>138184580007</v>
      </c>
      <c r="AK28" s="87">
        <v>507041219921</v>
      </c>
      <c r="AL28" s="87">
        <v>514726997327</v>
      </c>
      <c r="AM28" s="84">
        <v>-0.29170000000000001</v>
      </c>
      <c r="AN28" s="87">
        <v>287289471142</v>
      </c>
      <c r="AO28" s="87">
        <v>27975683510</v>
      </c>
      <c r="AP28" s="86">
        <v>1427</v>
      </c>
      <c r="AQ28" s="83">
        <v>844</v>
      </c>
      <c r="AR28" s="85">
        <v>51029382119</v>
      </c>
      <c r="AS28" s="83">
        <v>61</v>
      </c>
      <c r="AT28" s="17"/>
      <c r="AU28" s="17"/>
    </row>
    <row r="29" spans="1:47" ht="15" customHeight="1" x14ac:dyDescent="0.3">
      <c r="A29" s="82">
        <v>6</v>
      </c>
      <c r="B29" s="82" t="s">
        <v>62</v>
      </c>
      <c r="C29" s="82" t="s">
        <v>63</v>
      </c>
      <c r="D29" s="82">
        <v>2022</v>
      </c>
      <c r="E29" s="83" t="s">
        <v>64</v>
      </c>
      <c r="F29" s="84"/>
      <c r="G29" s="84">
        <v>0.36</v>
      </c>
      <c r="H29" s="84">
        <v>0.998</v>
      </c>
      <c r="I29" s="84">
        <v>8.0000000000000004E-4</v>
      </c>
      <c r="J29" s="85">
        <v>28065765</v>
      </c>
      <c r="K29" s="85">
        <v>959540734240</v>
      </c>
      <c r="L29" s="85">
        <v>915280821112</v>
      </c>
      <c r="M29" s="85">
        <v>1245026039075</v>
      </c>
      <c r="N29" s="85">
        <v>45311326176</v>
      </c>
      <c r="O29" s="85">
        <v>67424325941</v>
      </c>
      <c r="P29" s="85">
        <v>3420785722</v>
      </c>
      <c r="Q29" s="85">
        <v>135523697054</v>
      </c>
      <c r="R29" s="85">
        <v>48496425408</v>
      </c>
      <c r="S29" s="85">
        <v>622536436433</v>
      </c>
      <c r="T29" s="86"/>
      <c r="U29" s="87">
        <v>588789789782</v>
      </c>
      <c r="V29" s="85">
        <v>1477263331</v>
      </c>
      <c r="W29" s="85">
        <v>36962083730</v>
      </c>
      <c r="X29" s="85">
        <v>876183475640</v>
      </c>
      <c r="Y29" s="83">
        <v>1</v>
      </c>
      <c r="Z29" s="83">
        <v>1</v>
      </c>
      <c r="AA29" s="85">
        <v>34353507333</v>
      </c>
      <c r="AB29" s="85">
        <v>439332707414</v>
      </c>
      <c r="AC29" s="87">
        <v>478184504070</v>
      </c>
      <c r="AD29" s="85">
        <v>17038</v>
      </c>
      <c r="AE29" s="85">
        <v>805693331661</v>
      </c>
      <c r="AF29" s="85">
        <v>69943789654</v>
      </c>
      <c r="AG29" s="85">
        <v>6651599515</v>
      </c>
      <c r="AH29" s="85">
        <v>-3756837698</v>
      </c>
      <c r="AI29" s="87">
        <v>36390500867</v>
      </c>
      <c r="AJ29" s="87">
        <v>135281891268</v>
      </c>
      <c r="AK29" s="87">
        <v>530074887666</v>
      </c>
      <c r="AL29" s="87">
        <v>520676985270</v>
      </c>
      <c r="AM29" s="84">
        <v>-4.2299999999999997E-2</v>
      </c>
      <c r="AN29" s="87">
        <v>323110741069</v>
      </c>
      <c r="AO29" s="87">
        <v>16783986690</v>
      </c>
      <c r="AP29" s="86">
        <v>989</v>
      </c>
      <c r="AQ29" s="83">
        <v>800</v>
      </c>
      <c r="AR29" s="85">
        <v>30451984317</v>
      </c>
      <c r="AS29" s="83">
        <v>62</v>
      </c>
      <c r="AT29" s="17"/>
      <c r="AU29" s="17"/>
    </row>
    <row r="30" spans="1:47" ht="15.6" x14ac:dyDescent="0.3">
      <c r="A30" s="82">
        <v>6</v>
      </c>
      <c r="B30" s="82" t="s">
        <v>62</v>
      </c>
      <c r="C30" s="82" t="s">
        <v>63</v>
      </c>
      <c r="D30" s="82">
        <v>2023</v>
      </c>
      <c r="E30" s="83" t="s">
        <v>64</v>
      </c>
      <c r="F30" s="84"/>
      <c r="G30" s="84">
        <v>0.36</v>
      </c>
      <c r="H30" s="84"/>
      <c r="I30" s="84">
        <v>1.1999999999999999E-3</v>
      </c>
      <c r="J30" s="85">
        <v>28065765</v>
      </c>
      <c r="K30" s="85">
        <v>1234494008488</v>
      </c>
      <c r="L30" s="85">
        <v>1197750107492</v>
      </c>
      <c r="M30" s="85">
        <v>1346839659024</v>
      </c>
      <c r="N30" s="85">
        <v>33672177635</v>
      </c>
      <c r="O30" s="85">
        <v>74666552613</v>
      </c>
      <c r="P30" s="85">
        <v>3409318822</v>
      </c>
      <c r="Q30" s="85">
        <v>136769869693</v>
      </c>
      <c r="R30" s="85">
        <v>49327993674</v>
      </c>
      <c r="S30" s="85">
        <v>468475606489</v>
      </c>
      <c r="T30" s="83"/>
      <c r="U30" s="87">
        <v>937869927531</v>
      </c>
      <c r="V30" s="85">
        <v>2069807040</v>
      </c>
      <c r="W30" s="85">
        <v>34460373085</v>
      </c>
      <c r="X30" s="85">
        <v>707881688005</v>
      </c>
      <c r="Y30" s="83">
        <v>0</v>
      </c>
      <c r="Z30" s="83">
        <v>1</v>
      </c>
      <c r="AA30" s="85">
        <v>37659544410</v>
      </c>
      <c r="AB30" s="85">
        <v>443349523174</v>
      </c>
      <c r="AC30" s="87">
        <v>824459912640</v>
      </c>
      <c r="AD30" s="85">
        <v>29376</v>
      </c>
      <c r="AE30" s="85">
        <v>903490135850</v>
      </c>
      <c r="AF30" s="85">
        <v>-82313339544</v>
      </c>
      <c r="AG30" s="85">
        <v>13549987756</v>
      </c>
      <c r="AH30" s="85">
        <v>-13034754539</v>
      </c>
      <c r="AI30" s="87">
        <v>33058394306</v>
      </c>
      <c r="AJ30" s="87">
        <v>282401789488</v>
      </c>
      <c r="AK30" s="87">
        <v>631102917710</v>
      </c>
      <c r="AL30" s="87">
        <v>621088346362</v>
      </c>
      <c r="AM30" s="84">
        <v>0.30859999999999999</v>
      </c>
      <c r="AN30" s="87">
        <v>228529873594</v>
      </c>
      <c r="AO30" s="87">
        <v>22380373360</v>
      </c>
      <c r="AP30" s="86">
        <v>1048</v>
      </c>
      <c r="AQ30" s="83">
        <v>767</v>
      </c>
      <c r="AR30" s="85">
        <v>36336226300</v>
      </c>
      <c r="AS30" s="83">
        <v>63</v>
      </c>
      <c r="AT30" s="17"/>
      <c r="AU30" s="17"/>
    </row>
    <row r="31" spans="1:47" ht="15.6" x14ac:dyDescent="0.3">
      <c r="A31" s="82">
        <v>6</v>
      </c>
      <c r="B31" s="82" t="s">
        <v>62</v>
      </c>
      <c r="C31" s="82" t="s">
        <v>63</v>
      </c>
      <c r="D31" s="82">
        <v>2024</v>
      </c>
      <c r="E31" s="83" t="s">
        <v>64</v>
      </c>
      <c r="F31" s="84"/>
      <c r="G31" s="84">
        <v>0.36</v>
      </c>
      <c r="H31" s="84">
        <v>0.86299999999999999</v>
      </c>
      <c r="I31" s="84">
        <v>1E-3</v>
      </c>
      <c r="J31" s="85">
        <v>28065765</v>
      </c>
      <c r="K31" s="85">
        <v>1063350074195</v>
      </c>
      <c r="L31" s="85">
        <v>1027779872350</v>
      </c>
      <c r="M31" s="85">
        <v>1208939314207</v>
      </c>
      <c r="N31" s="85">
        <v>35471024400</v>
      </c>
      <c r="O31" s="85">
        <v>63611727491</v>
      </c>
      <c r="P31" s="85">
        <v>3397851922</v>
      </c>
      <c r="Q31" s="85">
        <v>118298779865</v>
      </c>
      <c r="R31" s="85">
        <v>200972507906</v>
      </c>
      <c r="S31" s="85">
        <v>558898262454</v>
      </c>
      <c r="T31" s="83"/>
      <c r="U31" s="87">
        <v>903438869922</v>
      </c>
      <c r="V31" s="85">
        <v>1910925768</v>
      </c>
      <c r="W31" s="85">
        <v>66152249557</v>
      </c>
      <c r="X31" s="85">
        <v>789427165382</v>
      </c>
      <c r="Y31" s="83">
        <v>1</v>
      </c>
      <c r="Z31" s="83">
        <v>1</v>
      </c>
      <c r="AA31" s="85">
        <v>28029924632</v>
      </c>
      <c r="AB31" s="85">
        <v>575054864322</v>
      </c>
      <c r="AC31" s="87">
        <v>687611242500</v>
      </c>
      <c r="AD31" s="85">
        <v>24500</v>
      </c>
      <c r="AE31" s="85">
        <v>633884449885</v>
      </c>
      <c r="AF31" s="85">
        <v>-68759234064</v>
      </c>
      <c r="AG31" s="85">
        <v>3655358089</v>
      </c>
      <c r="AH31" s="85">
        <v>298854144951</v>
      </c>
      <c r="AI31" s="87">
        <v>29711953512</v>
      </c>
      <c r="AJ31" s="87">
        <v>2115557255</v>
      </c>
      <c r="AK31" s="87">
        <v>549126282887</v>
      </c>
      <c r="AL31" s="87">
        <v>482034437507</v>
      </c>
      <c r="AM31" s="84">
        <v>-0.1419</v>
      </c>
      <c r="AN31" s="87">
        <v>250315400799</v>
      </c>
      <c r="AO31" s="87">
        <v>16795136460</v>
      </c>
      <c r="AP31" s="86">
        <v>5403</v>
      </c>
      <c r="AQ31" s="83">
        <v>745</v>
      </c>
      <c r="AR31" s="85">
        <v>44897154836</v>
      </c>
      <c r="AS31" s="83">
        <v>64</v>
      </c>
      <c r="AT31" s="17"/>
      <c r="AU31" s="17"/>
    </row>
    <row r="32" spans="1:47" ht="15.6" x14ac:dyDescent="0.3">
      <c r="A32" s="88">
        <v>7</v>
      </c>
      <c r="B32" s="88" t="s">
        <v>66</v>
      </c>
      <c r="C32" s="88" t="s">
        <v>67</v>
      </c>
      <c r="D32" s="88">
        <v>2020</v>
      </c>
      <c r="E32" s="89" t="s">
        <v>47</v>
      </c>
      <c r="F32" s="90">
        <v>0.18579999999999999</v>
      </c>
      <c r="G32" s="90">
        <v>3.5000000000000003E-2</v>
      </c>
      <c r="H32" s="90">
        <f>50.02% + G32</f>
        <v>0.53520000000000001</v>
      </c>
      <c r="I32" s="91">
        <v>0.25</v>
      </c>
      <c r="J32" s="92">
        <v>70810542</v>
      </c>
      <c r="K32" s="92">
        <v>3421254473260</v>
      </c>
      <c r="L32" s="92">
        <v>3418340659106</v>
      </c>
      <c r="M32" s="92">
        <v>3919585184235</v>
      </c>
      <c r="N32" s="92">
        <v>12390343113</v>
      </c>
      <c r="O32" s="92">
        <v>98228093225</v>
      </c>
      <c r="P32" s="92">
        <v>37297699924</v>
      </c>
      <c r="Q32" s="92">
        <v>2935666396509</v>
      </c>
      <c r="R32" s="92">
        <v>291790110187</v>
      </c>
      <c r="S32" s="92">
        <v>137929446263</v>
      </c>
      <c r="T32" s="89"/>
      <c r="U32" s="92">
        <v>0</v>
      </c>
      <c r="V32" s="92">
        <v>1428929100</v>
      </c>
      <c r="W32" s="92">
        <v>2751729575468</v>
      </c>
      <c r="X32" s="92">
        <v>3311958993346</v>
      </c>
      <c r="Y32" s="92">
        <v>1</v>
      </c>
      <c r="Z32" s="92">
        <v>1</v>
      </c>
      <c r="AA32" s="92">
        <v>346699723041</v>
      </c>
      <c r="AB32" s="92">
        <v>2346510165476</v>
      </c>
      <c r="AC32" s="92">
        <f>36100 * J32</f>
        <v>2556260566200</v>
      </c>
      <c r="AD32" s="92">
        <v>36100</v>
      </c>
      <c r="AE32" s="92">
        <v>1573075018759</v>
      </c>
      <c r="AF32" s="92">
        <v>280982488536</v>
      </c>
      <c r="AG32" s="93">
        <v>148572100419</v>
      </c>
      <c r="AH32" s="93">
        <v>-196902818433</v>
      </c>
      <c r="AI32" s="92">
        <v>460731977838</v>
      </c>
      <c r="AJ32" s="92">
        <v>549978804583</v>
      </c>
      <c r="AK32" s="92">
        <v>1321975864883</v>
      </c>
      <c r="AL32" s="92">
        <v>1023096214176</v>
      </c>
      <c r="AM32" s="90">
        <v>0.46100000000000002</v>
      </c>
      <c r="AN32" s="92">
        <v>5298293897</v>
      </c>
      <c r="AO32" s="92">
        <v>39049732575</v>
      </c>
      <c r="AP32" s="94">
        <v>4469</v>
      </c>
      <c r="AQ32" s="92">
        <v>1099</v>
      </c>
      <c r="AR32" s="93">
        <v>1003437440703</v>
      </c>
      <c r="AS32" s="92">
        <v>39</v>
      </c>
      <c r="AT32" s="17"/>
      <c r="AU32" s="17"/>
    </row>
    <row r="33" spans="1:47" ht="15.6" x14ac:dyDescent="0.3">
      <c r="A33" s="88">
        <v>7</v>
      </c>
      <c r="B33" s="88" t="s">
        <v>66</v>
      </c>
      <c r="C33" s="88" t="s">
        <v>67</v>
      </c>
      <c r="D33" s="88">
        <v>2021</v>
      </c>
      <c r="E33" s="89" t="s">
        <v>47</v>
      </c>
      <c r="F33" s="90">
        <v>0.16769999999999999</v>
      </c>
      <c r="G33" s="90">
        <v>3.1E-2</v>
      </c>
      <c r="H33" s="90">
        <f>35.74% + G33</f>
        <v>0.38839999999999997</v>
      </c>
      <c r="I33" s="90">
        <v>0.433</v>
      </c>
      <c r="J33" s="92">
        <v>105859929</v>
      </c>
      <c r="K33" s="92">
        <v>6389529794726</v>
      </c>
      <c r="L33" s="92">
        <v>6381265627918</v>
      </c>
      <c r="M33" s="92">
        <v>5734083964756</v>
      </c>
      <c r="N33" s="92">
        <v>55162502579</v>
      </c>
      <c r="O33" s="92" t="s">
        <v>68</v>
      </c>
      <c r="P33" s="92">
        <v>89843184477</v>
      </c>
      <c r="Q33" s="92">
        <v>5524746278574</v>
      </c>
      <c r="R33" s="92">
        <v>439747398280</v>
      </c>
      <c r="S33" s="92">
        <v>126008668434</v>
      </c>
      <c r="T33" s="92"/>
      <c r="U33" s="92">
        <v>0</v>
      </c>
      <c r="V33" s="92">
        <v>5285643491</v>
      </c>
      <c r="W33" s="92">
        <v>5362360241005</v>
      </c>
      <c r="X33" s="92">
        <v>6049820402974</v>
      </c>
      <c r="Y33" s="92">
        <v>1</v>
      </c>
      <c r="Z33" s="92">
        <v>1</v>
      </c>
      <c r="AA33" s="92">
        <v>692023899525</v>
      </c>
      <c r="AB33" s="92">
        <v>3489915859862</v>
      </c>
      <c r="AC33" s="92">
        <f>75000 * J33</f>
        <v>7939494675000</v>
      </c>
      <c r="AD33" s="92">
        <v>75000</v>
      </c>
      <c r="AE33" s="92">
        <v>2244168104894</v>
      </c>
      <c r="AF33" s="92">
        <v>14448950211</v>
      </c>
      <c r="AG33" s="93">
        <v>214270638309</v>
      </c>
      <c r="AH33" s="93">
        <v>-396237209860</v>
      </c>
      <c r="AI33" s="92">
        <v>1073681032249</v>
      </c>
      <c r="AJ33" s="92">
        <v>600958923543</v>
      </c>
      <c r="AK33" s="92">
        <v>2430451915331</v>
      </c>
      <c r="AL33" s="92">
        <v>1643209181351</v>
      </c>
      <c r="AM33" s="90">
        <v>0.86699999999999999</v>
      </c>
      <c r="AN33" s="92">
        <v>10230876303</v>
      </c>
      <c r="AO33" s="92">
        <v>41174989975</v>
      </c>
      <c r="AP33" s="94">
        <v>5888</v>
      </c>
      <c r="AQ33" s="92">
        <v>1384</v>
      </c>
      <c r="AR33" s="93">
        <v>988090064585</v>
      </c>
      <c r="AS33" s="89">
        <v>40</v>
      </c>
      <c r="AT33" s="17"/>
      <c r="AU33" s="17"/>
    </row>
    <row r="34" spans="1:47" ht="15.6" x14ac:dyDescent="0.3">
      <c r="A34" s="88">
        <v>7</v>
      </c>
      <c r="B34" s="88" t="s">
        <v>66</v>
      </c>
      <c r="C34" s="88" t="s">
        <v>67</v>
      </c>
      <c r="D34" s="88">
        <v>2022</v>
      </c>
      <c r="E34" s="89" t="s">
        <v>47</v>
      </c>
      <c r="F34" s="90">
        <v>0.16800000000000001</v>
      </c>
      <c r="G34" s="90">
        <v>3.1199999999999999E-2</v>
      </c>
      <c r="H34" s="90">
        <f>36.13% + G34</f>
        <v>0.39250000000000002</v>
      </c>
      <c r="I34" s="90">
        <v>0.43730000000000002</v>
      </c>
      <c r="J34" s="92">
        <v>105859929</v>
      </c>
      <c r="K34" s="92">
        <v>3656259677895</v>
      </c>
      <c r="L34" s="92">
        <v>3648087847709</v>
      </c>
      <c r="M34" s="92">
        <v>5570603363655</v>
      </c>
      <c r="N34" s="92">
        <v>29783011326</v>
      </c>
      <c r="O34" s="92">
        <v>173874207197</v>
      </c>
      <c r="P34" s="92">
        <v>17835944656</v>
      </c>
      <c r="Q34" s="92">
        <v>2826088546967</v>
      </c>
      <c r="R34" s="92">
        <v>470861133957</v>
      </c>
      <c r="S34" s="92">
        <v>149001634636</v>
      </c>
      <c r="T34" s="89"/>
      <c r="U34" s="92">
        <v>0</v>
      </c>
      <c r="V34" s="92">
        <v>0</v>
      </c>
      <c r="W34" s="92">
        <v>2632770989961</v>
      </c>
      <c r="X34" s="92">
        <v>3301803198187</v>
      </c>
      <c r="Y34" s="89">
        <v>1</v>
      </c>
      <c r="Z34" s="89">
        <v>1</v>
      </c>
      <c r="AA34" s="92">
        <v>771581018436</v>
      </c>
      <c r="AB34" s="92">
        <v>4147585792553</v>
      </c>
      <c r="AC34" s="92">
        <f>60700 * J34</f>
        <v>6425697690300</v>
      </c>
      <c r="AD34" s="92">
        <v>60700</v>
      </c>
      <c r="AE34" s="92">
        <v>1423017571102</v>
      </c>
      <c r="AF34" s="92">
        <v>290887141660</v>
      </c>
      <c r="AG34" s="93">
        <v>266875743792</v>
      </c>
      <c r="AH34" s="93">
        <v>-347410632453</v>
      </c>
      <c r="AI34" s="92">
        <v>556774624464</v>
      </c>
      <c r="AJ34" s="92">
        <v>564231357857</v>
      </c>
      <c r="AK34" s="92">
        <v>1744350322596</v>
      </c>
      <c r="AL34" s="92">
        <v>858786213245</v>
      </c>
      <c r="AM34" s="90">
        <v>-0.42799999999999999</v>
      </c>
      <c r="AN34" s="92">
        <v>15394505094</v>
      </c>
      <c r="AO34" s="92">
        <v>17541362576</v>
      </c>
      <c r="AP34" s="94">
        <v>5427</v>
      </c>
      <c r="AQ34" s="92">
        <v>1295</v>
      </c>
      <c r="AR34" s="93">
        <v>1092515210172</v>
      </c>
      <c r="AS34" s="89">
        <v>41</v>
      </c>
      <c r="AT34" s="17"/>
      <c r="AU34" s="17"/>
    </row>
    <row r="35" spans="1:47" ht="15.6" x14ac:dyDescent="0.3">
      <c r="A35" s="95">
        <v>7</v>
      </c>
      <c r="B35" s="89" t="s">
        <v>66</v>
      </c>
      <c r="C35" s="89" t="s">
        <v>67</v>
      </c>
      <c r="D35" s="95">
        <v>2023</v>
      </c>
      <c r="E35" s="89" t="s">
        <v>47</v>
      </c>
      <c r="F35" s="90">
        <v>0.16700000000000001</v>
      </c>
      <c r="G35" s="90">
        <v>3.1E-2</v>
      </c>
      <c r="H35" s="90">
        <f>37.1% + G35</f>
        <v>0.40200000000000002</v>
      </c>
      <c r="I35" s="90">
        <v>0.43</v>
      </c>
      <c r="J35" s="92">
        <v>158258909</v>
      </c>
      <c r="K35" s="92">
        <v>2403225044262</v>
      </c>
      <c r="L35" s="92">
        <v>2389818300795</v>
      </c>
      <c r="M35" s="92">
        <v>7513241799555</v>
      </c>
      <c r="N35" s="92">
        <v>33607873201</v>
      </c>
      <c r="O35" s="92">
        <v>187277133658</v>
      </c>
      <c r="P35" s="92">
        <v>27408179940</v>
      </c>
      <c r="Q35" s="93">
        <v>1855679060508</v>
      </c>
      <c r="R35" s="92">
        <v>334692468859</v>
      </c>
      <c r="S35" s="92">
        <v>82239090261</v>
      </c>
      <c r="T35" s="89"/>
      <c r="U35" s="92">
        <v>0</v>
      </c>
      <c r="V35" s="92">
        <v>7818153990</v>
      </c>
      <c r="W35" s="92">
        <v>1662351085077</v>
      </c>
      <c r="X35" s="92">
        <v>2202401840457</v>
      </c>
      <c r="Y35" s="89">
        <v>1</v>
      </c>
      <c r="Z35" s="89">
        <v>1</v>
      </c>
      <c r="AA35" s="92">
        <v>210769125568</v>
      </c>
      <c r="AB35" s="92">
        <v>4768651496638</v>
      </c>
      <c r="AC35" s="92">
        <f>45000 * J35</f>
        <v>7121650905000</v>
      </c>
      <c r="AD35" s="92">
        <v>45000</v>
      </c>
      <c r="AE35" s="92">
        <v>2744590302917</v>
      </c>
      <c r="AF35" s="93">
        <v>-24317290983</v>
      </c>
      <c r="AG35" s="93">
        <v>422562450840</v>
      </c>
      <c r="AH35" s="93">
        <v>-408202584066</v>
      </c>
      <c r="AI35" s="92">
        <v>447183890000</v>
      </c>
      <c r="AJ35" s="92">
        <v>1795865684981</v>
      </c>
      <c r="AK35" s="92">
        <v>1816920221683</v>
      </c>
      <c r="AL35" s="92">
        <v>948724617936</v>
      </c>
      <c r="AM35" s="90">
        <v>-0.34389999999999998</v>
      </c>
      <c r="AN35" s="92">
        <v>13011984414</v>
      </c>
      <c r="AO35" s="92">
        <v>16407097800</v>
      </c>
      <c r="AP35" s="94">
        <v>865</v>
      </c>
      <c r="AQ35" s="92">
        <v>1435</v>
      </c>
      <c r="AR35" s="93">
        <v>2842649350333</v>
      </c>
      <c r="AS35" s="89">
        <v>42</v>
      </c>
      <c r="AT35" s="17"/>
      <c r="AU35" s="17"/>
    </row>
    <row r="36" spans="1:47" ht="15.6" x14ac:dyDescent="0.3">
      <c r="A36" s="95">
        <v>7</v>
      </c>
      <c r="B36" s="89" t="s">
        <v>66</v>
      </c>
      <c r="C36" s="89" t="s">
        <v>67</v>
      </c>
      <c r="D36" s="95">
        <v>2024</v>
      </c>
      <c r="E36" s="89" t="s">
        <v>47</v>
      </c>
      <c r="F36" s="90">
        <v>0.1653</v>
      </c>
      <c r="G36" s="90">
        <v>3.1199999999999999E-2</v>
      </c>
      <c r="H36" s="90">
        <f>52.58% + G36</f>
        <v>0.55699999999999994</v>
      </c>
      <c r="I36" s="90">
        <v>0.42599999999999999</v>
      </c>
      <c r="J36" s="93">
        <v>169336335</v>
      </c>
      <c r="K36" s="92">
        <v>3356093696306</v>
      </c>
      <c r="L36" s="92">
        <v>3325664683968</v>
      </c>
      <c r="M36" s="93">
        <v>8397171613771</v>
      </c>
      <c r="N36" s="93">
        <v>56281408075</v>
      </c>
      <c r="O36" s="92">
        <v>224337676111</v>
      </c>
      <c r="P36" s="92">
        <v>83463653750</v>
      </c>
      <c r="Q36" s="93">
        <v>2687414720980</v>
      </c>
      <c r="R36" s="93">
        <v>429709015393</v>
      </c>
      <c r="S36" s="92">
        <v>83720192157</v>
      </c>
      <c r="T36" s="89"/>
      <c r="U36" s="92">
        <v>0</v>
      </c>
      <c r="V36" s="92">
        <v>11232750489</v>
      </c>
      <c r="W36" s="92">
        <v>2342414006910</v>
      </c>
      <c r="X36" s="92">
        <v>3084877205036</v>
      </c>
      <c r="Y36" s="89">
        <v>1</v>
      </c>
      <c r="Z36" s="89">
        <v>1</v>
      </c>
      <c r="AA36" s="92">
        <v>267534610405</v>
      </c>
      <c r="AB36" s="92">
        <v>5159850645010</v>
      </c>
      <c r="AC36" s="92">
        <f>42000 * J36</f>
        <v>7112126070000</v>
      </c>
      <c r="AD36" s="92">
        <v>42000</v>
      </c>
      <c r="AE36" s="92">
        <v>3237320968761</v>
      </c>
      <c r="AF36" s="92">
        <v>312887734804</v>
      </c>
      <c r="AG36" s="93">
        <v>270467234407</v>
      </c>
      <c r="AH36" s="93">
        <v>-421325399292</v>
      </c>
      <c r="AI36" s="92">
        <v>485654685668</v>
      </c>
      <c r="AJ36" s="92">
        <v>1854765243698</v>
      </c>
      <c r="AK36" s="92">
        <v>2025328189001</v>
      </c>
      <c r="AL36" s="92">
        <v>1382555725063</v>
      </c>
      <c r="AM36" s="90">
        <v>0.3916</v>
      </c>
      <c r="AN36" s="92">
        <v>15497158482</v>
      </c>
      <c r="AO36" s="92">
        <v>78869350275</v>
      </c>
      <c r="AP36" s="94">
        <v>1196</v>
      </c>
      <c r="AQ36" s="92">
        <v>1265</v>
      </c>
      <c r="AR36" s="93">
        <v>3358269760366</v>
      </c>
      <c r="AS36" s="89">
        <v>43</v>
      </c>
      <c r="AT36" s="17"/>
      <c r="AU36" s="17"/>
    </row>
    <row r="37" spans="1:47" ht="15.6" x14ac:dyDescent="0.3">
      <c r="A37" s="24">
        <v>8</v>
      </c>
      <c r="B37" s="24" t="s">
        <v>69</v>
      </c>
      <c r="C37" s="24" t="s">
        <v>70</v>
      </c>
      <c r="D37" s="24">
        <v>2020</v>
      </c>
      <c r="E37" s="25" t="s">
        <v>71</v>
      </c>
      <c r="F37" s="26">
        <v>2.7000000000000001E-3</v>
      </c>
      <c r="G37" s="27">
        <v>0</v>
      </c>
      <c r="H37" s="26">
        <v>0.74650000000000005</v>
      </c>
      <c r="I37" s="26">
        <v>1.04E-2</v>
      </c>
      <c r="J37" s="28">
        <v>71781828</v>
      </c>
      <c r="K37" s="28">
        <v>6359187330750</v>
      </c>
      <c r="L37" s="28">
        <v>6359187330750</v>
      </c>
      <c r="M37" s="28">
        <v>3879102101635</v>
      </c>
      <c r="N37" s="25">
        <v>0</v>
      </c>
      <c r="O37" s="28">
        <v>147543777064</v>
      </c>
      <c r="P37" s="28">
        <v>19112009358</v>
      </c>
      <c r="Q37" s="28">
        <v>776232108069</v>
      </c>
      <c r="R37" s="28">
        <v>417493032939</v>
      </c>
      <c r="S37" s="28">
        <v>1307508289367</v>
      </c>
      <c r="T37" s="28"/>
      <c r="U37" s="28">
        <v>1288468164316</v>
      </c>
      <c r="V37" s="28">
        <v>255882554157</v>
      </c>
      <c r="W37" s="28">
        <v>455979018894</v>
      </c>
      <c r="X37" s="28">
        <v>5332574162367</v>
      </c>
      <c r="Y37" s="28">
        <v>1</v>
      </c>
      <c r="Z37" s="28">
        <v>1</v>
      </c>
      <c r="AA37" s="28">
        <v>343991844666</v>
      </c>
      <c r="AB37" s="28">
        <v>1060862054712</v>
      </c>
      <c r="AC37" s="28">
        <f>69800 * J37</f>
        <v>5010371594400</v>
      </c>
      <c r="AD37" s="28">
        <v>69800</v>
      </c>
      <c r="AE37" s="28">
        <v>2818240046923</v>
      </c>
      <c r="AF37" s="28">
        <v>163509359881</v>
      </c>
      <c r="AG37" s="19">
        <v>487816261455</v>
      </c>
      <c r="AH37" s="19">
        <v>-466861587492</v>
      </c>
      <c r="AI37" s="28">
        <v>504100812827</v>
      </c>
      <c r="AJ37" s="28">
        <v>17551400245</v>
      </c>
      <c r="AK37" s="28">
        <v>3060961531743</v>
      </c>
      <c r="AL37" s="28">
        <v>2800688646678</v>
      </c>
      <c r="AM37" s="26">
        <v>0.24690000000000001</v>
      </c>
      <c r="AN37" s="28">
        <v>670361361542</v>
      </c>
      <c r="AO37" s="28">
        <v>61921102104</v>
      </c>
      <c r="AP37" s="29">
        <v>3892</v>
      </c>
      <c r="AQ37" s="28">
        <v>10589</v>
      </c>
      <c r="AR37" s="19">
        <v>376730640150</v>
      </c>
      <c r="AS37" s="28">
        <v>25</v>
      </c>
      <c r="AT37" s="17"/>
      <c r="AU37" s="17"/>
    </row>
    <row r="38" spans="1:47" ht="15.6" x14ac:dyDescent="0.3">
      <c r="A38" s="24">
        <v>8</v>
      </c>
      <c r="B38" s="24" t="s">
        <v>69</v>
      </c>
      <c r="C38" s="24" t="s">
        <v>70</v>
      </c>
      <c r="D38" s="24">
        <v>2021</v>
      </c>
      <c r="E38" s="25" t="s">
        <v>71</v>
      </c>
      <c r="F38" s="26">
        <v>3.7399999999999998E-3</v>
      </c>
      <c r="G38" s="27">
        <v>0</v>
      </c>
      <c r="H38" s="26">
        <v>0.70130000000000003</v>
      </c>
      <c r="I38" s="26">
        <v>4.3400000000000001E-2</v>
      </c>
      <c r="J38" s="28">
        <v>92923873</v>
      </c>
      <c r="K38" s="28">
        <v>7446888026068</v>
      </c>
      <c r="L38" s="28">
        <v>7446888026068</v>
      </c>
      <c r="M38" s="28">
        <v>3963439810451</v>
      </c>
      <c r="N38" s="25">
        <v>0</v>
      </c>
      <c r="O38" s="28">
        <v>160527970661</v>
      </c>
      <c r="P38" s="28">
        <v>26277949538</v>
      </c>
      <c r="Q38" s="28">
        <v>2011672488020</v>
      </c>
      <c r="R38" s="28">
        <v>622882705387</v>
      </c>
      <c r="S38" s="28">
        <v>1397044433445</v>
      </c>
      <c r="T38" s="28"/>
      <c r="U38" s="28">
        <v>1056495419945</v>
      </c>
      <c r="V38" s="28">
        <v>311798048575</v>
      </c>
      <c r="W38" s="28">
        <v>962659408200</v>
      </c>
      <c r="X38" s="28">
        <v>6926848758534</v>
      </c>
      <c r="Y38" s="28">
        <v>1</v>
      </c>
      <c r="Z38" s="28">
        <v>1</v>
      </c>
      <c r="AA38" s="28">
        <v>472915721893</v>
      </c>
      <c r="AB38" s="28">
        <v>1311715505036</v>
      </c>
      <c r="AC38" s="28">
        <f>87600 * J38</f>
        <v>8140131274800</v>
      </c>
      <c r="AD38" s="28">
        <v>87600</v>
      </c>
      <c r="AE38" s="28">
        <v>2651724305415</v>
      </c>
      <c r="AF38" s="28">
        <v>588284526669</v>
      </c>
      <c r="AG38" s="19">
        <v>395111902442</v>
      </c>
      <c r="AH38" s="19">
        <v>-484148424471</v>
      </c>
      <c r="AI38" s="28">
        <v>668144408661</v>
      </c>
      <c r="AJ38" s="28">
        <v>163306871300</v>
      </c>
      <c r="AK38" s="28">
        <v>3012832759690</v>
      </c>
      <c r="AL38" s="28">
        <v>2488417434115</v>
      </c>
      <c r="AM38" s="26">
        <v>0.17100000000000001</v>
      </c>
      <c r="AN38" s="28">
        <v>565624753818</v>
      </c>
      <c r="AO38" s="28">
        <v>72867698184</v>
      </c>
      <c r="AP38" s="29">
        <v>4038</v>
      </c>
      <c r="AQ38" s="28">
        <v>11928</v>
      </c>
      <c r="AR38" s="19">
        <v>435118977065</v>
      </c>
      <c r="AS38" s="28">
        <v>26</v>
      </c>
      <c r="AT38" s="17"/>
      <c r="AU38" s="17"/>
    </row>
    <row r="39" spans="1:47" ht="15.6" x14ac:dyDescent="0.3">
      <c r="A39" s="24">
        <v>8</v>
      </c>
      <c r="B39" s="24" t="s">
        <v>69</v>
      </c>
      <c r="C39" s="24" t="s">
        <v>70</v>
      </c>
      <c r="D39" s="24">
        <v>2022</v>
      </c>
      <c r="E39" s="25" t="s">
        <v>71</v>
      </c>
      <c r="F39" s="26">
        <v>2.7499999999999998E-3</v>
      </c>
      <c r="G39" s="27">
        <v>0</v>
      </c>
      <c r="H39" s="26">
        <v>0.67049999999999998</v>
      </c>
      <c r="I39" s="26">
        <v>9.6100000000000005E-2</v>
      </c>
      <c r="J39" s="28">
        <v>114385879</v>
      </c>
      <c r="K39" s="28">
        <v>9369884426812</v>
      </c>
      <c r="L39" s="28">
        <v>9369884426812</v>
      </c>
      <c r="M39" s="28">
        <v>6040964527680</v>
      </c>
      <c r="N39" s="25">
        <v>0</v>
      </c>
      <c r="O39" s="28">
        <v>189041644116</v>
      </c>
      <c r="P39" s="28">
        <v>29210800871</v>
      </c>
      <c r="Q39" s="28">
        <v>2150984846876</v>
      </c>
      <c r="R39" s="28">
        <v>759922635055</v>
      </c>
      <c r="S39" s="28">
        <v>2308393137031</v>
      </c>
      <c r="T39" s="28"/>
      <c r="U39" s="28">
        <v>1353394528196</v>
      </c>
      <c r="V39" s="28">
        <v>654116850072</v>
      </c>
      <c r="W39" s="28">
        <v>796222627652</v>
      </c>
      <c r="X39" s="28">
        <v>8497452342146</v>
      </c>
      <c r="Y39" s="28">
        <v>1</v>
      </c>
      <c r="Z39" s="28">
        <v>1</v>
      </c>
      <c r="AA39" s="28">
        <v>555041781860</v>
      </c>
      <c r="AB39" s="28">
        <v>1624831569070</v>
      </c>
      <c r="AC39" s="28">
        <f>50400 * J39</f>
        <v>5765048301600</v>
      </c>
      <c r="AD39" s="28">
        <v>50400</v>
      </c>
      <c r="AE39" s="28">
        <v>4416132958610</v>
      </c>
      <c r="AF39" s="28">
        <v>72231945769</v>
      </c>
      <c r="AG39" s="19">
        <v>406520385050</v>
      </c>
      <c r="AH39" s="19">
        <v>-1519914458496</v>
      </c>
      <c r="AI39" s="28">
        <v>413861121979</v>
      </c>
      <c r="AJ39" s="28">
        <v>283078885803</v>
      </c>
      <c r="AK39" s="28">
        <v>4993827156129</v>
      </c>
      <c r="AL39" s="28">
        <v>4133054072807</v>
      </c>
      <c r="AM39" s="26">
        <v>0.25819999999999999</v>
      </c>
      <c r="AN39" s="28">
        <v>906594988730</v>
      </c>
      <c r="AO39" s="28">
        <v>91877102750</v>
      </c>
      <c r="AP39" s="29">
        <v>3872</v>
      </c>
      <c r="AQ39" s="28">
        <v>12418</v>
      </c>
      <c r="AR39" s="19">
        <v>343644502253</v>
      </c>
      <c r="AS39" s="28">
        <v>27</v>
      </c>
      <c r="AT39" s="17"/>
      <c r="AU39" s="17"/>
    </row>
    <row r="40" spans="1:47" ht="15.6" x14ac:dyDescent="0.3">
      <c r="A40" s="24">
        <v>8</v>
      </c>
      <c r="B40" s="24" t="s">
        <v>69</v>
      </c>
      <c r="C40" s="24" t="s">
        <v>70</v>
      </c>
      <c r="D40" s="24">
        <v>2023</v>
      </c>
      <c r="E40" s="25" t="s">
        <v>71</v>
      </c>
      <c r="F40" s="26">
        <v>2E-3</v>
      </c>
      <c r="G40" s="27">
        <v>0</v>
      </c>
      <c r="H40" s="26">
        <v>0.73521899999999996</v>
      </c>
      <c r="I40" s="26">
        <v>0.10279000000000001</v>
      </c>
      <c r="J40" s="28">
        <v>114385879</v>
      </c>
      <c r="K40" s="28">
        <v>11298950641691</v>
      </c>
      <c r="L40" s="28">
        <v>11298950641691</v>
      </c>
      <c r="M40" s="28">
        <v>6915808803789</v>
      </c>
      <c r="N40" s="25">
        <v>0</v>
      </c>
      <c r="O40" s="28">
        <v>248927530279</v>
      </c>
      <c r="P40" s="28">
        <v>23018028857</v>
      </c>
      <c r="Q40" s="28">
        <v>2218891196695</v>
      </c>
      <c r="R40" s="28">
        <v>901501128571</v>
      </c>
      <c r="S40" s="28">
        <v>2781836245132</v>
      </c>
      <c r="T40" s="28"/>
      <c r="U40" s="28">
        <v>1407913349148</v>
      </c>
      <c r="V40" s="28">
        <v>483164343163</v>
      </c>
      <c r="W40" s="28">
        <v>909050094240</v>
      </c>
      <c r="X40" s="28">
        <v>9318513593074</v>
      </c>
      <c r="Y40" s="28">
        <v>1</v>
      </c>
      <c r="Z40" s="28">
        <v>1</v>
      </c>
      <c r="AA40" s="28">
        <v>646953895630</v>
      </c>
      <c r="AB40" s="28">
        <v>1987974680541</v>
      </c>
      <c r="AC40" s="28">
        <f>91800 * J40</f>
        <v>10500623692200</v>
      </c>
      <c r="AD40" s="28">
        <v>91800</v>
      </c>
      <c r="AE40" s="28">
        <v>4927834123248</v>
      </c>
      <c r="AF40" s="28">
        <v>573112297141</v>
      </c>
      <c r="AG40" s="19">
        <v>483442221964</v>
      </c>
      <c r="AH40" s="19">
        <v>-159335600369</v>
      </c>
      <c r="AI40" s="28">
        <v>818525481502</v>
      </c>
      <c r="AJ40" s="28">
        <v>392369688165</v>
      </c>
      <c r="AK40" s="28">
        <v>5613796175151</v>
      </c>
      <c r="AL40" s="28">
        <v>4535464435083</v>
      </c>
      <c r="AM40" s="26">
        <v>0.19350000000000001</v>
      </c>
      <c r="AN40" s="28">
        <v>789970134518</v>
      </c>
      <c r="AO40" s="28">
        <v>117393347350</v>
      </c>
      <c r="AP40" s="29">
        <v>4510</v>
      </c>
      <c r="AQ40" s="28">
        <v>12765</v>
      </c>
      <c r="AR40" s="19">
        <v>261538671066</v>
      </c>
      <c r="AS40" s="28">
        <v>28</v>
      </c>
      <c r="AT40" s="17"/>
      <c r="AU40" s="17"/>
    </row>
    <row r="41" spans="1:47" ht="15.6" x14ac:dyDescent="0.3">
      <c r="A41" s="24">
        <v>8</v>
      </c>
      <c r="B41" s="24" t="s">
        <v>69</v>
      </c>
      <c r="C41" s="24" t="s">
        <v>70</v>
      </c>
      <c r="D41" s="24">
        <v>2024</v>
      </c>
      <c r="E41" s="25" t="s">
        <v>71</v>
      </c>
      <c r="F41" s="26">
        <v>1.2999999999999999E-3</v>
      </c>
      <c r="G41" s="27">
        <v>0</v>
      </c>
      <c r="H41" s="26">
        <v>0.70896000000000003</v>
      </c>
      <c r="I41" s="26">
        <v>9.6845000000000001E-2</v>
      </c>
      <c r="J41" s="28">
        <v>114385879</v>
      </c>
      <c r="K41" s="28">
        <v>12609519560081</v>
      </c>
      <c r="L41" s="28">
        <v>12609519560081</v>
      </c>
      <c r="M41" s="28">
        <v>7106257863668</v>
      </c>
      <c r="N41" s="25">
        <v>0</v>
      </c>
      <c r="O41" s="28">
        <v>168599256242</v>
      </c>
      <c r="P41" s="28">
        <v>17130038179</v>
      </c>
      <c r="Q41" s="28">
        <v>2486962987026</v>
      </c>
      <c r="R41" s="28">
        <v>1034601054925</v>
      </c>
      <c r="S41" s="28">
        <v>3474596001464</v>
      </c>
      <c r="T41" s="28"/>
      <c r="U41" s="28">
        <v>1340473796723</v>
      </c>
      <c r="V41" s="28">
        <v>233099804488</v>
      </c>
      <c r="W41" s="28">
        <v>1089016912624</v>
      </c>
      <c r="X41" s="28">
        <v>10675062786893</v>
      </c>
      <c r="Y41" s="28">
        <v>1</v>
      </c>
      <c r="Z41" s="28">
        <v>1</v>
      </c>
      <c r="AA41" s="28">
        <v>674536000185</v>
      </c>
      <c r="AB41" s="28">
        <v>1865063262319</v>
      </c>
      <c r="AC41" s="28">
        <f>124500 * J41</f>
        <v>14241041935500</v>
      </c>
      <c r="AD41" s="28">
        <v>124500</v>
      </c>
      <c r="AE41" s="28">
        <v>5241194601349</v>
      </c>
      <c r="AF41" s="28">
        <v>1140539118851</v>
      </c>
      <c r="AG41" s="19">
        <v>800839914157</v>
      </c>
      <c r="AH41" s="19">
        <v>-599764947089</v>
      </c>
      <c r="AI41" s="28">
        <v>886977987638</v>
      </c>
      <c r="AJ41" s="28">
        <v>588247989729</v>
      </c>
      <c r="AK41" s="28">
        <v>5421441349658</v>
      </c>
      <c r="AL41" s="28">
        <v>4652946611620</v>
      </c>
      <c r="AM41" s="26">
        <v>1.09E-3</v>
      </c>
      <c r="AN41" s="28">
        <v>610480085129</v>
      </c>
      <c r="AO41" s="28">
        <v>525372401882</v>
      </c>
      <c r="AP41" s="29">
        <v>4705</v>
      </c>
      <c r="AQ41" s="25">
        <v>12440</v>
      </c>
      <c r="AR41" s="19">
        <v>173607215775</v>
      </c>
      <c r="AS41" s="28">
        <v>29</v>
      </c>
      <c r="AT41" s="17"/>
      <c r="AU41" s="17"/>
    </row>
    <row r="42" spans="1:47" ht="15.6" x14ac:dyDescent="0.3">
      <c r="A42" s="47">
        <v>9</v>
      </c>
      <c r="B42" s="47" t="s">
        <v>72</v>
      </c>
      <c r="C42" s="47" t="s">
        <v>73</v>
      </c>
      <c r="D42" s="47">
        <v>2020</v>
      </c>
      <c r="E42" s="48" t="s">
        <v>74</v>
      </c>
      <c r="F42" s="49">
        <v>0.27429999999999999</v>
      </c>
      <c r="G42" s="50">
        <v>0</v>
      </c>
      <c r="H42" s="49">
        <v>0.15440000000000001</v>
      </c>
      <c r="I42" s="49">
        <v>4.7000000000000002E-3</v>
      </c>
      <c r="J42" s="51">
        <v>9791945</v>
      </c>
      <c r="K42" s="52">
        <v>1056501170701</v>
      </c>
      <c r="L42" s="53">
        <v>1048474278455</v>
      </c>
      <c r="M42" s="53">
        <v>869947605915</v>
      </c>
      <c r="N42" s="53" t="s">
        <v>75</v>
      </c>
      <c r="O42" s="53">
        <v>36567993478</v>
      </c>
      <c r="P42" s="53">
        <v>1578335345</v>
      </c>
      <c r="Q42" s="53">
        <v>106409748684</v>
      </c>
      <c r="R42" s="53">
        <v>120286895311</v>
      </c>
      <c r="S42" s="53">
        <v>743644080922</v>
      </c>
      <c r="T42" s="53"/>
      <c r="U42" s="52">
        <v>20215462055</v>
      </c>
      <c r="V42" s="52">
        <v>10542360550</v>
      </c>
      <c r="W42" s="52">
        <v>10927954316</v>
      </c>
      <c r="X42" s="52">
        <v>848982464731</v>
      </c>
      <c r="Y42" s="48">
        <v>1</v>
      </c>
      <c r="Z42" s="48">
        <v>1</v>
      </c>
      <c r="AA42" s="52">
        <v>118654497551</v>
      </c>
      <c r="AB42" s="52">
        <v>601353139886</v>
      </c>
      <c r="AC42" s="52">
        <v>519965342100</v>
      </c>
      <c r="AD42" s="52">
        <f t="shared" ref="AD42:AD46" si="4">AC42/J42</f>
        <v>53101.334014845874</v>
      </c>
      <c r="AE42" s="52">
        <v>268594466029</v>
      </c>
      <c r="AF42" s="52">
        <v>215403052100</v>
      </c>
      <c r="AG42" s="54">
        <v>2008300000</v>
      </c>
      <c r="AH42" s="54">
        <f>-118692999999</f>
        <v>-118692999999</v>
      </c>
      <c r="AI42" s="52">
        <v>4674467769</v>
      </c>
      <c r="AJ42" s="52">
        <v>390285092389</v>
      </c>
      <c r="AK42" s="52">
        <v>459177981607</v>
      </c>
      <c r="AL42" s="52">
        <v>268594466029</v>
      </c>
      <c r="AM42" s="50">
        <v>0.24</v>
      </c>
      <c r="AN42" s="52">
        <v>268594466029</v>
      </c>
      <c r="AO42" s="52">
        <v>48960955000</v>
      </c>
      <c r="AP42" s="55">
        <v>12117</v>
      </c>
      <c r="AQ42" s="48">
        <v>484</v>
      </c>
      <c r="AR42" s="54">
        <v>396866160161</v>
      </c>
      <c r="AS42" s="48">
        <v>25</v>
      </c>
      <c r="AT42" s="17"/>
      <c r="AU42" s="17"/>
    </row>
    <row r="43" spans="1:47" ht="15.6" x14ac:dyDescent="0.3">
      <c r="A43" s="47">
        <v>9</v>
      </c>
      <c r="B43" s="47" t="s">
        <v>72</v>
      </c>
      <c r="C43" s="47" t="s">
        <v>73</v>
      </c>
      <c r="D43" s="47">
        <v>2021</v>
      </c>
      <c r="E43" s="48" t="s">
        <v>74</v>
      </c>
      <c r="F43" s="49">
        <f t="shared" ref="F43:F46" si="5">9.84%+27.43%</f>
        <v>0.37269999999999998</v>
      </c>
      <c r="G43" s="50">
        <v>0</v>
      </c>
      <c r="H43" s="56">
        <v>0.15040000000000001</v>
      </c>
      <c r="I43" s="56">
        <v>2.8E-3</v>
      </c>
      <c r="J43" s="51">
        <v>9791945</v>
      </c>
      <c r="K43" s="52">
        <v>829562640283</v>
      </c>
      <c r="L43" s="53">
        <v>812239339384</v>
      </c>
      <c r="M43" s="53">
        <v>967399882208</v>
      </c>
      <c r="N43" s="53" t="s">
        <v>76</v>
      </c>
      <c r="O43" s="53">
        <v>36243292100</v>
      </c>
      <c r="P43" s="53">
        <v>1330364947</v>
      </c>
      <c r="Q43" s="53">
        <v>112588722409</v>
      </c>
      <c r="R43" s="53">
        <v>163901429983</v>
      </c>
      <c r="S43" s="53">
        <v>524177421115</v>
      </c>
      <c r="T43" s="53"/>
      <c r="U43" s="52">
        <v>36215420550</v>
      </c>
      <c r="V43" s="52">
        <v>11354205440</v>
      </c>
      <c r="W43" s="52">
        <v>14120283030</v>
      </c>
      <c r="X43" s="52">
        <v>611200388487</v>
      </c>
      <c r="Y43" s="48">
        <v>1</v>
      </c>
      <c r="Z43" s="48">
        <v>1</v>
      </c>
      <c r="AA43" s="52">
        <v>163618778644</v>
      </c>
      <c r="AB43" s="52">
        <v>715975511880</v>
      </c>
      <c r="AC43" s="52">
        <v>1527581796000</v>
      </c>
      <c r="AD43" s="52">
        <f t="shared" si="4"/>
        <v>156003.9191396602</v>
      </c>
      <c r="AE43" s="52">
        <v>251424370328</v>
      </c>
      <c r="AF43" s="52">
        <v>101783068471</v>
      </c>
      <c r="AG43" s="54">
        <v>23512250160</v>
      </c>
      <c r="AH43" s="54">
        <v>-33472043060</v>
      </c>
      <c r="AI43" s="52">
        <v>4489086530</v>
      </c>
      <c r="AJ43" s="52">
        <v>298401280240</v>
      </c>
      <c r="AK43" s="52">
        <v>565390612744</v>
      </c>
      <c r="AL43" s="52">
        <v>251424370328</v>
      </c>
      <c r="AM43" s="49">
        <v>-0.2253</v>
      </c>
      <c r="AN43" s="52">
        <v>204380625904</v>
      </c>
      <c r="AO43" s="52">
        <v>68496406650</v>
      </c>
      <c r="AP43" s="55">
        <v>16709</v>
      </c>
      <c r="AQ43" s="48">
        <v>456</v>
      </c>
      <c r="AR43" s="54">
        <v>362799341517</v>
      </c>
      <c r="AS43" s="48">
        <v>26</v>
      </c>
      <c r="AT43" s="17"/>
      <c r="AU43" s="17"/>
    </row>
    <row r="44" spans="1:47" ht="15.6" x14ac:dyDescent="0.3">
      <c r="A44" s="57">
        <v>9</v>
      </c>
      <c r="B44" s="57" t="s">
        <v>72</v>
      </c>
      <c r="C44" s="57" t="s">
        <v>73</v>
      </c>
      <c r="D44" s="57">
        <v>2022</v>
      </c>
      <c r="E44" s="58" t="s">
        <v>74</v>
      </c>
      <c r="F44" s="49">
        <f t="shared" si="5"/>
        <v>0.37269999999999998</v>
      </c>
      <c r="G44" s="50">
        <v>0</v>
      </c>
      <c r="H44" s="56">
        <v>0.15040000000000001</v>
      </c>
      <c r="I44" s="56">
        <v>2.8E-3</v>
      </c>
      <c r="J44" s="51">
        <v>9791945</v>
      </c>
      <c r="K44" s="51">
        <v>868974945103</v>
      </c>
      <c r="L44" s="51">
        <v>868974945103</v>
      </c>
      <c r="M44" s="51">
        <v>1379570091729</v>
      </c>
      <c r="N44" s="51">
        <v>3130485212</v>
      </c>
      <c r="O44" s="51">
        <v>868974945103</v>
      </c>
      <c r="P44" s="51">
        <v>1216269564</v>
      </c>
      <c r="Q44" s="59">
        <v>111166109961</v>
      </c>
      <c r="R44" s="59">
        <v>186508692693</v>
      </c>
      <c r="S44" s="59">
        <v>629206225012</v>
      </c>
      <c r="T44" s="59"/>
      <c r="U44" s="51">
        <v>20731330309</v>
      </c>
      <c r="V44" s="51">
        <v>0</v>
      </c>
      <c r="W44" s="51">
        <v>6655628044</v>
      </c>
      <c r="X44" s="51">
        <v>773824608716</v>
      </c>
      <c r="Y44" s="48">
        <v>0</v>
      </c>
      <c r="Z44" s="48">
        <v>0</v>
      </c>
      <c r="AA44" s="52">
        <v>187639199121</v>
      </c>
      <c r="AB44" s="52">
        <v>760077682531</v>
      </c>
      <c r="AC44" s="52">
        <v>1000746570945</v>
      </c>
      <c r="AD44" s="52">
        <f t="shared" si="4"/>
        <v>102201</v>
      </c>
      <c r="AE44" s="52">
        <v>243296136464</v>
      </c>
      <c r="AF44" s="52">
        <v>643350156740</v>
      </c>
      <c r="AG44" s="54">
        <v>45620124560</v>
      </c>
      <c r="AH44" s="54">
        <v>-425340124560</v>
      </c>
      <c r="AI44" s="52">
        <v>134227167920</v>
      </c>
      <c r="AJ44" s="52">
        <v>32498109489</v>
      </c>
      <c r="AK44" s="52">
        <v>781233332217</v>
      </c>
      <c r="AL44" s="52">
        <v>243296136464</v>
      </c>
      <c r="AM44" s="49">
        <v>1.0631999999999999</v>
      </c>
      <c r="AN44" s="52">
        <v>205634591462</v>
      </c>
      <c r="AO44" s="52">
        <v>97914804500</v>
      </c>
      <c r="AP44" s="55">
        <v>53423</v>
      </c>
      <c r="AQ44" s="48">
        <v>465</v>
      </c>
      <c r="AR44" s="54">
        <v>344799015982</v>
      </c>
      <c r="AS44" s="48">
        <v>27</v>
      </c>
      <c r="AT44" s="17"/>
      <c r="AU44" s="17"/>
    </row>
    <row r="45" spans="1:47" ht="15.6" x14ac:dyDescent="0.3">
      <c r="A45" s="57">
        <v>9</v>
      </c>
      <c r="B45" s="57" t="s">
        <v>72</v>
      </c>
      <c r="C45" s="57" t="s">
        <v>73</v>
      </c>
      <c r="D45" s="57">
        <v>2023</v>
      </c>
      <c r="E45" s="58" t="s">
        <v>74</v>
      </c>
      <c r="F45" s="49">
        <f t="shared" si="5"/>
        <v>0.37269999999999998</v>
      </c>
      <c r="G45" s="50">
        <v>0</v>
      </c>
      <c r="H45" s="56">
        <v>0.16089999999999999</v>
      </c>
      <c r="I45" s="56">
        <v>3.7000000000000002E-3</v>
      </c>
      <c r="J45" s="51">
        <v>9791945</v>
      </c>
      <c r="K45" s="51">
        <v>549875532972</v>
      </c>
      <c r="L45" s="51">
        <v>549875532972</v>
      </c>
      <c r="M45" s="51">
        <v>1341953642225</v>
      </c>
      <c r="N45" s="51">
        <v>5351903969</v>
      </c>
      <c r="O45" s="51" t="s">
        <v>77</v>
      </c>
      <c r="P45" s="51">
        <v>1202025372</v>
      </c>
      <c r="Q45" s="59">
        <v>116339384160</v>
      </c>
      <c r="R45" s="59">
        <v>224841608709</v>
      </c>
      <c r="S45" s="59">
        <v>767035788343</v>
      </c>
      <c r="T45" s="59"/>
      <c r="U45" s="51">
        <v>28720465324</v>
      </c>
      <c r="V45" s="51">
        <v>0</v>
      </c>
      <c r="W45" s="51">
        <v>44496851333</v>
      </c>
      <c r="X45" s="51">
        <v>932545703937</v>
      </c>
      <c r="Y45" s="58">
        <v>1</v>
      </c>
      <c r="Z45" s="58">
        <v>1</v>
      </c>
      <c r="AA45" s="51">
        <v>224635121385</v>
      </c>
      <c r="AB45" s="51">
        <v>1180648233666</v>
      </c>
      <c r="AC45" s="51">
        <v>1274735014990</v>
      </c>
      <c r="AD45" s="52">
        <f t="shared" si="4"/>
        <v>130182.00316586746</v>
      </c>
      <c r="AE45" s="51">
        <v>161305408559</v>
      </c>
      <c r="AF45" s="51">
        <v>768877910302</v>
      </c>
      <c r="AG45" s="60">
        <v>16863028709</v>
      </c>
      <c r="AH45" s="60">
        <v>-31245878359</v>
      </c>
      <c r="AI45" s="51">
        <v>134227167920</v>
      </c>
      <c r="AJ45" s="51">
        <v>4500000000</v>
      </c>
      <c r="AK45" s="52">
        <v>781233332217</v>
      </c>
      <c r="AL45" s="51">
        <v>156805408559</v>
      </c>
      <c r="AM45" s="56">
        <v>0.97470000000000001</v>
      </c>
      <c r="AN45" s="51">
        <v>325097240660</v>
      </c>
      <c r="AO45" s="51">
        <v>97914804500</v>
      </c>
      <c r="AP45" s="55">
        <v>53423</v>
      </c>
      <c r="AQ45" s="58">
        <v>300</v>
      </c>
      <c r="AR45" s="60">
        <v>542780494234</v>
      </c>
      <c r="AS45" s="58">
        <v>28</v>
      </c>
      <c r="AT45" s="17"/>
      <c r="AU45" s="17"/>
    </row>
    <row r="46" spans="1:47" ht="15.6" x14ac:dyDescent="0.3">
      <c r="A46" s="57">
        <v>9</v>
      </c>
      <c r="B46" s="57" t="s">
        <v>72</v>
      </c>
      <c r="C46" s="57" t="s">
        <v>73</v>
      </c>
      <c r="D46" s="57">
        <v>2024</v>
      </c>
      <c r="E46" s="58" t="s">
        <v>74</v>
      </c>
      <c r="F46" s="49">
        <f t="shared" si="5"/>
        <v>0.37269999999999998</v>
      </c>
      <c r="G46" s="50">
        <v>0</v>
      </c>
      <c r="H46" s="56">
        <v>0.15040000000000001</v>
      </c>
      <c r="I46" s="56">
        <v>2.8E-3</v>
      </c>
      <c r="J46" s="51">
        <v>9791945</v>
      </c>
      <c r="K46" s="51">
        <v>1412000000000</v>
      </c>
      <c r="L46" s="51">
        <v>1412000000000</v>
      </c>
      <c r="M46" s="51">
        <v>1696000000000</v>
      </c>
      <c r="N46" s="51">
        <v>4721000000</v>
      </c>
      <c r="O46" s="51">
        <v>17864000000</v>
      </c>
      <c r="P46" s="51">
        <v>1187781180</v>
      </c>
      <c r="Q46" s="59">
        <v>111273431692</v>
      </c>
      <c r="R46" s="59">
        <v>531185559343</v>
      </c>
      <c r="S46" s="59">
        <v>483285110224</v>
      </c>
      <c r="T46" s="59"/>
      <c r="U46" s="51">
        <v>29510442110</v>
      </c>
      <c r="V46" s="51">
        <v>0</v>
      </c>
      <c r="W46" s="51">
        <v>35420112440</v>
      </c>
      <c r="X46" s="51">
        <v>632545703937</v>
      </c>
      <c r="Y46" s="58">
        <v>0</v>
      </c>
      <c r="Z46" s="58">
        <v>0</v>
      </c>
      <c r="AA46" s="51">
        <v>526385827870</v>
      </c>
      <c r="AB46" s="51">
        <v>1555057748036</v>
      </c>
      <c r="AC46" s="51">
        <v>1805634658000</v>
      </c>
      <c r="AD46" s="52">
        <f t="shared" si="4"/>
        <v>184400</v>
      </c>
      <c r="AE46" s="51">
        <v>140956280258</v>
      </c>
      <c r="AF46" s="51">
        <v>215640112448</v>
      </c>
      <c r="AG46" s="60">
        <v>27314550221</v>
      </c>
      <c r="AH46" s="60">
        <v>-19057994224</v>
      </c>
      <c r="AI46" s="51">
        <v>18510220114</v>
      </c>
      <c r="AJ46" s="51" t="s">
        <v>58</v>
      </c>
      <c r="AK46" s="51">
        <v>1126825970050</v>
      </c>
      <c r="AL46" s="51">
        <v>140956280258</v>
      </c>
      <c r="AM46" s="56">
        <v>-0.1769</v>
      </c>
      <c r="AN46" s="51">
        <v>434220132692</v>
      </c>
      <c r="AO46" s="51">
        <v>195838900000</v>
      </c>
      <c r="AP46" s="61">
        <v>53757</v>
      </c>
      <c r="AQ46" s="58">
        <v>298</v>
      </c>
      <c r="AR46" s="60">
        <v>550140225124</v>
      </c>
      <c r="AS46" s="58">
        <v>29</v>
      </c>
      <c r="AT46" s="17"/>
      <c r="AU46" s="17"/>
    </row>
    <row r="47" spans="1:47" ht="15.6" x14ac:dyDescent="0.3">
      <c r="A47" s="96">
        <v>10</v>
      </c>
      <c r="B47" s="96" t="s">
        <v>78</v>
      </c>
      <c r="C47" s="96" t="s">
        <v>79</v>
      </c>
      <c r="D47" s="96">
        <v>2020</v>
      </c>
      <c r="E47" s="97" t="s">
        <v>55</v>
      </c>
      <c r="F47" s="98">
        <v>6.8999999999999999E-3</v>
      </c>
      <c r="G47" s="98">
        <v>0.43440000000000001</v>
      </c>
      <c r="H47" s="98">
        <v>0.52769999999999995</v>
      </c>
      <c r="I47" s="98">
        <v>0.1757</v>
      </c>
      <c r="J47" s="99">
        <v>9332573</v>
      </c>
      <c r="K47" s="99">
        <v>461182743893</v>
      </c>
      <c r="L47" s="99">
        <v>460764195048</v>
      </c>
      <c r="M47" s="99">
        <v>429052637422</v>
      </c>
      <c r="N47" s="99">
        <v>46978044211</v>
      </c>
      <c r="O47" s="99">
        <v>43823264319</v>
      </c>
      <c r="P47" s="99">
        <v>3165320363</v>
      </c>
      <c r="Q47" s="100">
        <f>X47 - S47 - 127080404322</f>
        <v>57609111401</v>
      </c>
      <c r="R47" s="100">
        <v>100040013374</v>
      </c>
      <c r="S47" s="100">
        <v>183352759628</v>
      </c>
      <c r="T47" s="100"/>
      <c r="U47" s="99">
        <v>6593734616</v>
      </c>
      <c r="V47" s="99">
        <v>8105288479</v>
      </c>
      <c r="W47" s="99">
        <v>15704289976</v>
      </c>
      <c r="X47" s="99">
        <v>368042275351</v>
      </c>
      <c r="Y47" s="18">
        <v>1</v>
      </c>
      <c r="Z47" s="18">
        <v>1</v>
      </c>
      <c r="AA47" s="14">
        <v>93386150064</v>
      </c>
      <c r="AB47" s="14">
        <v>364173266218</v>
      </c>
      <c r="AC47" s="14">
        <f t="shared" ref="AC47:AC51" si="6">J47 * AD47</f>
        <v>536622947500</v>
      </c>
      <c r="AD47" s="14">
        <v>57500</v>
      </c>
      <c r="AE47" s="14">
        <v>429052637422</v>
      </c>
      <c r="AF47" s="14">
        <v>80689758967</v>
      </c>
      <c r="AG47" s="13">
        <v>9687019465</v>
      </c>
      <c r="AH47" s="13">
        <v>-113294464342</v>
      </c>
      <c r="AI47" s="14">
        <v>115025778178</v>
      </c>
      <c r="AJ47" s="14">
        <v>0</v>
      </c>
      <c r="AK47" s="14">
        <v>355934242490</v>
      </c>
      <c r="AL47" s="14">
        <v>64879371204</v>
      </c>
      <c r="AM47" s="21">
        <v>-8.6E-3</v>
      </c>
      <c r="AN47" s="14">
        <v>89414149701</v>
      </c>
      <c r="AO47" s="14">
        <v>22095502110</v>
      </c>
      <c r="AP47" s="22">
        <v>5837</v>
      </c>
      <c r="AQ47" s="18">
        <v>555</v>
      </c>
      <c r="AR47" s="13">
        <v>65178873975</v>
      </c>
      <c r="AS47" s="18">
        <v>39</v>
      </c>
      <c r="AT47" s="17"/>
      <c r="AU47" s="17"/>
    </row>
    <row r="48" spans="1:47" ht="15.6" x14ac:dyDescent="0.3">
      <c r="A48" s="96">
        <v>10</v>
      </c>
      <c r="B48" s="96" t="s">
        <v>78</v>
      </c>
      <c r="C48" s="96" t="s">
        <v>79</v>
      </c>
      <c r="D48" s="96">
        <v>2021</v>
      </c>
      <c r="E48" s="97" t="s">
        <v>55</v>
      </c>
      <c r="F48" s="98">
        <v>6.4999999999999997E-3</v>
      </c>
      <c r="G48" s="98">
        <v>0.43440000000000001</v>
      </c>
      <c r="H48" s="98">
        <v>0.52769999999999995</v>
      </c>
      <c r="I48" s="98">
        <v>8.8999999999999996E-2</v>
      </c>
      <c r="J48" s="99">
        <v>9332573</v>
      </c>
      <c r="K48" s="99">
        <v>414407156530</v>
      </c>
      <c r="L48" s="99">
        <v>414231960300</v>
      </c>
      <c r="M48" s="99">
        <v>451493874509</v>
      </c>
      <c r="N48" s="99">
        <v>39168792680</v>
      </c>
      <c r="O48" s="99">
        <v>35743248656</v>
      </c>
      <c r="P48" s="99">
        <v>2991139452</v>
      </c>
      <c r="Q48" s="99">
        <f>X48 - S48 - 108646354792</f>
        <v>50010143026</v>
      </c>
      <c r="R48" s="99">
        <v>86548549678</v>
      </c>
      <c r="S48" s="99">
        <v>151621025754</v>
      </c>
      <c r="T48" s="99"/>
      <c r="U48" s="99">
        <v>3116405906</v>
      </c>
      <c r="V48" s="99">
        <v>15374323140</v>
      </c>
      <c r="W48" s="99">
        <v>13896620976</v>
      </c>
      <c r="X48" s="99">
        <v>310277523572</v>
      </c>
      <c r="Y48" s="18">
        <v>1</v>
      </c>
      <c r="Z48" s="18">
        <v>1</v>
      </c>
      <c r="AA48" s="14">
        <v>81970853109</v>
      </c>
      <c r="AB48" s="14">
        <v>388876873339</v>
      </c>
      <c r="AC48" s="14">
        <f t="shared" si="6"/>
        <v>611283531500</v>
      </c>
      <c r="AD48" s="14">
        <v>65500</v>
      </c>
      <c r="AE48" s="14">
        <v>451493874509</v>
      </c>
      <c r="AF48" s="14">
        <v>62846941843</v>
      </c>
      <c r="AG48" s="13">
        <v>3961906000</v>
      </c>
      <c r="AH48" s="13">
        <v>-126784634842</v>
      </c>
      <c r="AI48" s="14">
        <v>29429914666</v>
      </c>
      <c r="AJ48" s="14">
        <v>0</v>
      </c>
      <c r="AK48" s="14">
        <v>389042182267</v>
      </c>
      <c r="AL48" s="14">
        <v>62617001170</v>
      </c>
      <c r="AM48" s="21">
        <v>-0.10100000000000001</v>
      </c>
      <c r="AN48" s="14">
        <v>71378651185</v>
      </c>
      <c r="AO48" s="14">
        <v>21654556340</v>
      </c>
      <c r="AP48" s="22">
        <v>5066</v>
      </c>
      <c r="AQ48" s="18">
        <v>529</v>
      </c>
      <c r="AR48" s="13">
        <v>53900322008</v>
      </c>
      <c r="AS48" s="18">
        <v>40</v>
      </c>
      <c r="AT48" s="17"/>
      <c r="AU48" s="17"/>
    </row>
    <row r="49" spans="1:47" ht="15.6" x14ac:dyDescent="0.3">
      <c r="A49" s="96">
        <v>10</v>
      </c>
      <c r="B49" s="96" t="s">
        <v>78</v>
      </c>
      <c r="C49" s="96" t="s">
        <v>79</v>
      </c>
      <c r="D49" s="96">
        <v>2022</v>
      </c>
      <c r="E49" s="97" t="s">
        <v>55</v>
      </c>
      <c r="F49" s="98">
        <v>6.4999999999999997E-3</v>
      </c>
      <c r="G49" s="98">
        <v>0.43440000000000001</v>
      </c>
      <c r="H49" s="98">
        <v>0.58650000000000002</v>
      </c>
      <c r="I49" s="98">
        <v>3.3399999999999999E-2</v>
      </c>
      <c r="J49" s="99">
        <v>9332573</v>
      </c>
      <c r="K49" s="99">
        <v>472709909155</v>
      </c>
      <c r="L49" s="99">
        <v>472273549847</v>
      </c>
      <c r="M49" s="99">
        <v>494124151697</v>
      </c>
      <c r="N49" s="99">
        <v>49660059392</v>
      </c>
      <c r="O49" s="99">
        <v>45927909547</v>
      </c>
      <c r="P49" s="99">
        <v>2730525117</v>
      </c>
      <c r="Q49" s="99">
        <f>X49 - S49 - 134202220965</f>
        <v>58570735419</v>
      </c>
      <c r="R49" s="99">
        <v>103310748815</v>
      </c>
      <c r="S49" s="99">
        <v>214815397280</v>
      </c>
      <c r="T49" s="99"/>
      <c r="U49" s="99">
        <v>6775168572</v>
      </c>
      <c r="V49" s="99">
        <v>11947623139</v>
      </c>
      <c r="W49" s="99">
        <v>20083170443</v>
      </c>
      <c r="X49" s="99">
        <v>407588353664</v>
      </c>
      <c r="Y49" s="18">
        <v>1</v>
      </c>
      <c r="Z49" s="18">
        <v>1</v>
      </c>
      <c r="AA49" s="14">
        <v>103902889841</v>
      </c>
      <c r="AB49" s="14">
        <v>427782034298</v>
      </c>
      <c r="AC49" s="14">
        <f t="shared" si="6"/>
        <v>793268705000</v>
      </c>
      <c r="AD49" s="14">
        <v>85000</v>
      </c>
      <c r="AE49" s="14">
        <v>494124151697</v>
      </c>
      <c r="AF49" s="14">
        <v>36993204463</v>
      </c>
      <c r="AG49" s="13">
        <v>5318264101</v>
      </c>
      <c r="AH49" s="13">
        <v>-6200458375</v>
      </c>
      <c r="AI49" s="14">
        <v>37453513395</v>
      </c>
      <c r="AJ49" s="14">
        <v>0</v>
      </c>
      <c r="AK49" s="14">
        <v>441141345528</v>
      </c>
      <c r="AL49" s="14">
        <v>66342117399</v>
      </c>
      <c r="AM49" s="21">
        <v>0.1401</v>
      </c>
      <c r="AN49" s="14">
        <v>104546139625</v>
      </c>
      <c r="AO49" s="14">
        <v>22770134625</v>
      </c>
      <c r="AP49" s="22">
        <v>6525</v>
      </c>
      <c r="AQ49" s="18">
        <v>543</v>
      </c>
      <c r="AR49" s="13">
        <v>45890441007</v>
      </c>
      <c r="AS49" s="18">
        <v>41</v>
      </c>
      <c r="AT49" s="17"/>
      <c r="AU49" s="17"/>
    </row>
    <row r="50" spans="1:47" ht="15.6" x14ac:dyDescent="0.3">
      <c r="A50" s="96">
        <v>10</v>
      </c>
      <c r="B50" s="96" t="s">
        <v>78</v>
      </c>
      <c r="C50" s="96" t="s">
        <v>79</v>
      </c>
      <c r="D50" s="96">
        <v>2023</v>
      </c>
      <c r="E50" s="97" t="s">
        <v>55</v>
      </c>
      <c r="F50" s="98">
        <v>5.4999999999999997E-3</v>
      </c>
      <c r="G50" s="98">
        <v>0.43440000000000001</v>
      </c>
      <c r="H50" s="98">
        <v>0.58609999999999995</v>
      </c>
      <c r="I50" s="98">
        <v>3.0700000000000002E-2</v>
      </c>
      <c r="J50" s="99">
        <v>9332573</v>
      </c>
      <c r="K50" s="99">
        <v>485445722077</v>
      </c>
      <c r="L50" s="99">
        <v>485186385167</v>
      </c>
      <c r="M50" s="99">
        <v>426374584270</v>
      </c>
      <c r="N50" s="99">
        <v>45082620142</v>
      </c>
      <c r="O50" s="99">
        <v>40562476219</v>
      </c>
      <c r="P50" s="99">
        <v>2442642162</v>
      </c>
      <c r="Q50" s="99">
        <f>X50 - S50 - 126111848551</f>
        <v>55110929408</v>
      </c>
      <c r="R50" s="99">
        <v>96345296678</v>
      </c>
      <c r="S50" s="99">
        <v>197166561628</v>
      </c>
      <c r="T50" s="99"/>
      <c r="U50" s="99">
        <v>5393544577</v>
      </c>
      <c r="V50" s="99">
        <v>6840371322</v>
      </c>
      <c r="W50" s="99">
        <v>17655481909</v>
      </c>
      <c r="X50" s="99">
        <v>378389339587</v>
      </c>
      <c r="Y50" s="18">
        <v>0</v>
      </c>
      <c r="Z50" s="18">
        <v>0</v>
      </c>
      <c r="AA50" s="14">
        <v>104261894948</v>
      </c>
      <c r="AB50" s="14">
        <v>343196893351</v>
      </c>
      <c r="AC50" s="14">
        <f t="shared" si="6"/>
        <v>803534535300</v>
      </c>
      <c r="AD50" s="14">
        <v>86100</v>
      </c>
      <c r="AE50" s="14">
        <v>426374584270</v>
      </c>
      <c r="AF50" s="14">
        <v>94689997080</v>
      </c>
      <c r="AG50" s="13">
        <v>8012348168</v>
      </c>
      <c r="AH50" s="14">
        <v>18655508383</v>
      </c>
      <c r="AI50" s="14">
        <v>13252269450</v>
      </c>
      <c r="AJ50" s="14">
        <v>0</v>
      </c>
      <c r="AK50" s="14">
        <v>379070958797</v>
      </c>
      <c r="AL50" s="14">
        <v>83177690919</v>
      </c>
      <c r="AM50" s="21">
        <v>2.7300000000000001E-2</v>
      </c>
      <c r="AN50" s="14">
        <v>67243924381</v>
      </c>
      <c r="AO50" s="14">
        <v>137547833765</v>
      </c>
      <c r="AP50" s="22">
        <v>6536</v>
      </c>
      <c r="AQ50" s="18">
        <v>534</v>
      </c>
      <c r="AR50" s="13">
        <v>39704264536</v>
      </c>
      <c r="AS50" s="18">
        <v>42</v>
      </c>
      <c r="AT50" s="17"/>
      <c r="AU50" s="17"/>
    </row>
    <row r="51" spans="1:47" ht="15.6" x14ac:dyDescent="0.3">
      <c r="A51" s="96">
        <v>10</v>
      </c>
      <c r="B51" s="96" t="s">
        <v>78</v>
      </c>
      <c r="C51" s="96" t="s">
        <v>79</v>
      </c>
      <c r="D51" s="96">
        <v>2024</v>
      </c>
      <c r="E51" s="97" t="s">
        <v>55</v>
      </c>
      <c r="F51" s="98">
        <v>4.7000000000000002E-3</v>
      </c>
      <c r="G51" s="98">
        <v>0.43440000000000001</v>
      </c>
      <c r="H51" s="98">
        <v>0.58620000000000005</v>
      </c>
      <c r="I51" s="98">
        <v>3.5799999999999998E-2</v>
      </c>
      <c r="J51" s="99">
        <v>9332573</v>
      </c>
      <c r="K51" s="99">
        <v>498360089687</v>
      </c>
      <c r="L51" s="99">
        <v>498184992763</v>
      </c>
      <c r="M51" s="99">
        <v>375839227615</v>
      </c>
      <c r="N51" s="99">
        <v>47139746700</v>
      </c>
      <c r="O51" s="99">
        <v>49589737702</v>
      </c>
      <c r="P51" s="99">
        <v>2214455464</v>
      </c>
      <c r="Q51" s="99">
        <f>X51 - S51 - 134666962541</f>
        <v>60212234768</v>
      </c>
      <c r="R51" s="99">
        <v>101916259107</v>
      </c>
      <c r="S51" s="99">
        <v>221894264210</v>
      </c>
      <c r="T51" s="99"/>
      <c r="U51" s="99">
        <v>7093909578</v>
      </c>
      <c r="V51" s="99">
        <v>10191552710</v>
      </c>
      <c r="W51" s="99">
        <v>19630628991</v>
      </c>
      <c r="X51" s="99">
        <v>416773461519</v>
      </c>
      <c r="Y51" s="18">
        <v>1</v>
      </c>
      <c r="Z51" s="18">
        <v>1</v>
      </c>
      <c r="AA51" s="14">
        <v>100043366947</v>
      </c>
      <c r="AB51" s="14">
        <v>289611822269</v>
      </c>
      <c r="AC51" s="14">
        <f t="shared" si="6"/>
        <v>970587592000</v>
      </c>
      <c r="AD51" s="14">
        <v>104000</v>
      </c>
      <c r="AE51" s="14">
        <v>375839227615</v>
      </c>
      <c r="AF51" s="14">
        <v>53981133355</v>
      </c>
      <c r="AG51" s="13">
        <v>14754228919</v>
      </c>
      <c r="AH51" s="14">
        <v>103390113315</v>
      </c>
      <c r="AI51" s="14">
        <v>60084311574</v>
      </c>
      <c r="AJ51" s="14">
        <v>0</v>
      </c>
      <c r="AK51" s="14">
        <v>335435862125</v>
      </c>
      <c r="AL51" s="14">
        <v>86227405346</v>
      </c>
      <c r="AM51" s="21">
        <v>2.6800000000000001E-2</v>
      </c>
      <c r="AN51" s="14">
        <v>7111935887</v>
      </c>
      <c r="AO51" s="14">
        <v>110541570326</v>
      </c>
      <c r="AP51" s="22">
        <v>6536</v>
      </c>
      <c r="AQ51" s="18">
        <v>535</v>
      </c>
      <c r="AR51" s="13">
        <v>32058363300</v>
      </c>
      <c r="AS51" s="18">
        <v>43</v>
      </c>
      <c r="AT51" s="17"/>
      <c r="AU51" s="17"/>
    </row>
    <row r="52" spans="1:47" ht="15.6" x14ac:dyDescent="0.3">
      <c r="A52" s="30"/>
      <c r="B52" s="30"/>
      <c r="C52" s="30"/>
      <c r="D52" s="30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  <c r="AD52" s="17"/>
      <c r="AE52" s="17"/>
      <c r="AF52" s="17"/>
      <c r="AG52" s="31"/>
      <c r="AH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</row>
    <row r="53" spans="1:47" ht="15.6" x14ac:dyDescent="0.3">
      <c r="A53" s="30"/>
      <c r="B53" s="30"/>
      <c r="C53" s="30"/>
      <c r="D53" s="30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31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</row>
    <row r="54" spans="1:47" ht="15.6" x14ac:dyDescent="0.3">
      <c r="A54" s="30"/>
      <c r="B54" s="30"/>
      <c r="C54" s="30"/>
      <c r="D54" s="30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31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</row>
    <row r="55" spans="1:47" ht="15.6" x14ac:dyDescent="0.3">
      <c r="A55" s="30"/>
      <c r="B55" s="30"/>
      <c r="C55" s="30"/>
      <c r="D55" s="30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31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</row>
    <row r="56" spans="1:47" ht="15.6" x14ac:dyDescent="0.3">
      <c r="A56" s="30"/>
      <c r="B56" s="30"/>
      <c r="C56" s="30"/>
      <c r="D56" s="30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31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</row>
    <row r="57" spans="1:47" ht="15.6" x14ac:dyDescent="0.3">
      <c r="A57" s="30"/>
      <c r="B57" s="30"/>
      <c r="C57" s="30"/>
      <c r="D57" s="30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31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</row>
    <row r="58" spans="1:47" ht="15.6" x14ac:dyDescent="0.3">
      <c r="A58" s="30"/>
      <c r="B58" s="30"/>
      <c r="C58" s="30"/>
      <c r="D58" s="30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31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</row>
    <row r="59" spans="1:47" ht="15.6" x14ac:dyDescent="0.3">
      <c r="A59" s="30"/>
      <c r="B59" s="30"/>
      <c r="C59" s="30"/>
      <c r="D59" s="30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31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</row>
    <row r="60" spans="1:47" ht="15.6" x14ac:dyDescent="0.3">
      <c r="A60" s="30"/>
      <c r="B60" s="30"/>
      <c r="C60" s="30"/>
      <c r="D60" s="30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31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</row>
    <row r="61" spans="1:47" ht="15.6" x14ac:dyDescent="0.3">
      <c r="A61" s="30"/>
      <c r="B61" s="30"/>
      <c r="C61" s="30"/>
      <c r="D61" s="30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31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</row>
    <row r="62" spans="1:47" ht="15.6" x14ac:dyDescent="0.3">
      <c r="A62" s="30"/>
      <c r="B62" s="30"/>
      <c r="C62" s="30"/>
      <c r="D62" s="30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31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</row>
    <row r="63" spans="1:47" ht="15.6" x14ac:dyDescent="0.3">
      <c r="A63" s="30"/>
      <c r="B63" s="30"/>
      <c r="C63" s="30"/>
      <c r="D63" s="30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31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</row>
    <row r="64" spans="1:47" ht="15.6" x14ac:dyDescent="0.3">
      <c r="A64" s="30"/>
      <c r="B64" s="30"/>
      <c r="C64" s="30"/>
      <c r="D64" s="30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31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</row>
    <row r="65" spans="1:47" ht="15.6" x14ac:dyDescent="0.3">
      <c r="A65" s="30"/>
      <c r="B65" s="30"/>
      <c r="C65" s="30"/>
      <c r="D65" s="30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31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</row>
    <row r="66" spans="1:47" ht="15.6" x14ac:dyDescent="0.3">
      <c r="A66" s="30"/>
      <c r="B66" s="30"/>
      <c r="C66" s="30"/>
      <c r="D66" s="30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31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</row>
    <row r="67" spans="1:47" ht="15.6" x14ac:dyDescent="0.3">
      <c r="A67" s="30"/>
      <c r="B67" s="30"/>
      <c r="C67" s="30"/>
      <c r="D67" s="30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31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</row>
    <row r="68" spans="1:47" ht="15.6" x14ac:dyDescent="0.3">
      <c r="A68" s="30"/>
      <c r="B68" s="30"/>
      <c r="C68" s="30"/>
      <c r="D68" s="30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31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</row>
    <row r="69" spans="1:47" ht="15.6" x14ac:dyDescent="0.3">
      <c r="A69" s="30"/>
      <c r="B69" s="30"/>
      <c r="C69" s="30"/>
      <c r="D69" s="30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31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</row>
    <row r="70" spans="1:47" ht="15.6" x14ac:dyDescent="0.3">
      <c r="A70" s="30"/>
      <c r="B70" s="30"/>
      <c r="C70" s="30"/>
      <c r="D70" s="30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31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</row>
    <row r="71" spans="1:47" ht="15.6" x14ac:dyDescent="0.3">
      <c r="A71" s="30"/>
      <c r="B71" s="30"/>
      <c r="C71" s="30"/>
      <c r="D71" s="30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31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</row>
    <row r="72" spans="1:47" ht="15.6" x14ac:dyDescent="0.3">
      <c r="A72" s="30"/>
      <c r="B72" s="30"/>
      <c r="C72" s="30"/>
      <c r="D72" s="30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31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</row>
    <row r="73" spans="1:47" ht="15.6" x14ac:dyDescent="0.3">
      <c r="A73" s="30"/>
      <c r="B73" s="30"/>
      <c r="C73" s="30"/>
      <c r="D73" s="30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31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</row>
    <row r="74" spans="1:47" ht="15.6" x14ac:dyDescent="0.3">
      <c r="A74" s="30"/>
      <c r="B74" s="30"/>
      <c r="C74" s="30"/>
      <c r="D74" s="30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31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</row>
    <row r="75" spans="1:47" ht="15.6" x14ac:dyDescent="0.3">
      <c r="A75" s="30"/>
      <c r="B75" s="30"/>
      <c r="C75" s="30"/>
      <c r="D75" s="30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31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</row>
    <row r="76" spans="1:47" ht="15.6" x14ac:dyDescent="0.3">
      <c r="A76" s="30"/>
      <c r="B76" s="30"/>
      <c r="C76" s="30"/>
      <c r="D76" s="30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31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</row>
    <row r="77" spans="1:47" ht="15.6" x14ac:dyDescent="0.3">
      <c r="A77" s="30"/>
      <c r="B77" s="30"/>
      <c r="C77" s="30"/>
      <c r="D77" s="30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31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</row>
    <row r="78" spans="1:47" ht="15.6" x14ac:dyDescent="0.3">
      <c r="A78" s="30"/>
      <c r="B78" s="30"/>
      <c r="C78" s="30"/>
      <c r="D78" s="30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31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</row>
    <row r="79" spans="1:47" ht="15.6" x14ac:dyDescent="0.3">
      <c r="A79" s="30"/>
      <c r="B79" s="30"/>
      <c r="C79" s="30"/>
      <c r="D79" s="30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31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</row>
    <row r="80" spans="1:47" ht="15.6" x14ac:dyDescent="0.3">
      <c r="A80" s="30"/>
      <c r="B80" s="30"/>
      <c r="C80" s="30"/>
      <c r="D80" s="30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31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</row>
    <row r="81" spans="1:47" ht="15.6" x14ac:dyDescent="0.3">
      <c r="A81" s="30"/>
      <c r="B81" s="30"/>
      <c r="C81" s="30"/>
      <c r="D81" s="30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31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</row>
    <row r="82" spans="1:47" ht="15.6" x14ac:dyDescent="0.3">
      <c r="A82" s="30"/>
      <c r="B82" s="30"/>
      <c r="C82" s="30"/>
      <c r="D82" s="30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31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</row>
    <row r="83" spans="1:47" ht="15.6" x14ac:dyDescent="0.3">
      <c r="A83" s="30"/>
      <c r="B83" s="30"/>
      <c r="C83" s="30"/>
      <c r="D83" s="30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31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</row>
    <row r="84" spans="1:47" ht="15.6" x14ac:dyDescent="0.3">
      <c r="A84" s="30"/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0"/>
      <c r="AB84" s="30"/>
      <c r="AC84" s="30"/>
      <c r="AD84" s="30"/>
      <c r="AE84" s="30"/>
      <c r="AF84" s="30"/>
      <c r="AG84" s="32"/>
      <c r="AH84" s="30"/>
      <c r="AI84" s="30"/>
      <c r="AJ84" s="30"/>
      <c r="AK84" s="30"/>
      <c r="AL84" s="30"/>
      <c r="AM84" s="30"/>
      <c r="AN84" s="30"/>
      <c r="AO84" s="30"/>
      <c r="AP84" s="30"/>
      <c r="AQ84" s="30"/>
      <c r="AR84" s="30"/>
      <c r="AS84" s="30"/>
      <c r="AT84" s="30"/>
      <c r="AU84" s="30"/>
    </row>
    <row r="85" spans="1:47" ht="15.6" x14ac:dyDescent="0.3">
      <c r="A85" s="30"/>
      <c r="B85" s="30"/>
      <c r="C85" s="30"/>
      <c r="D85" s="30"/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  <c r="Z85" s="30"/>
      <c r="AA85" s="30"/>
      <c r="AB85" s="30"/>
      <c r="AC85" s="30"/>
      <c r="AD85" s="30"/>
      <c r="AE85" s="30"/>
      <c r="AF85" s="30"/>
      <c r="AG85" s="32"/>
      <c r="AH85" s="30"/>
      <c r="AI85" s="30"/>
      <c r="AJ85" s="30"/>
      <c r="AK85" s="30"/>
      <c r="AL85" s="30"/>
      <c r="AM85" s="30"/>
      <c r="AN85" s="30"/>
      <c r="AO85" s="30"/>
      <c r="AP85" s="30"/>
      <c r="AQ85" s="30"/>
      <c r="AR85" s="30"/>
      <c r="AS85" s="30"/>
      <c r="AT85" s="30"/>
      <c r="AU85" s="30"/>
    </row>
    <row r="86" spans="1:47" ht="15.6" x14ac:dyDescent="0.3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0"/>
      <c r="AB86" s="30"/>
      <c r="AC86" s="30"/>
      <c r="AD86" s="30"/>
      <c r="AE86" s="30"/>
      <c r="AF86" s="30"/>
      <c r="AG86" s="32"/>
      <c r="AH86" s="30"/>
      <c r="AI86" s="30"/>
      <c r="AJ86" s="30"/>
      <c r="AK86" s="30"/>
      <c r="AL86" s="30"/>
      <c r="AM86" s="30"/>
      <c r="AN86" s="30"/>
      <c r="AO86" s="30"/>
      <c r="AP86" s="30"/>
      <c r="AQ86" s="30"/>
      <c r="AR86" s="30"/>
      <c r="AS86" s="30"/>
      <c r="AT86" s="30"/>
      <c r="AU86" s="30"/>
    </row>
    <row r="87" spans="1:47" ht="15.6" x14ac:dyDescent="0.3">
      <c r="A87" s="30"/>
      <c r="B87" s="30"/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  <c r="Z87" s="30"/>
      <c r="AA87" s="30"/>
      <c r="AB87" s="30"/>
      <c r="AC87" s="30"/>
      <c r="AD87" s="30"/>
      <c r="AE87" s="30"/>
      <c r="AF87" s="30"/>
      <c r="AG87" s="32"/>
      <c r="AH87" s="30"/>
      <c r="AI87" s="30"/>
      <c r="AJ87" s="30"/>
      <c r="AK87" s="30"/>
      <c r="AL87" s="30"/>
      <c r="AM87" s="30"/>
      <c r="AN87" s="30"/>
      <c r="AO87" s="30"/>
      <c r="AP87" s="30"/>
      <c r="AQ87" s="30"/>
      <c r="AR87" s="30"/>
      <c r="AS87" s="30"/>
      <c r="AT87" s="30"/>
      <c r="AU87" s="30"/>
    </row>
    <row r="88" spans="1:47" ht="15.6" x14ac:dyDescent="0.3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  <c r="Z88" s="30"/>
      <c r="AA88" s="30"/>
      <c r="AB88" s="30"/>
      <c r="AC88" s="30"/>
      <c r="AD88" s="30"/>
      <c r="AE88" s="30"/>
      <c r="AF88" s="30"/>
      <c r="AG88" s="32"/>
      <c r="AH88" s="30"/>
      <c r="AI88" s="30"/>
      <c r="AJ88" s="30"/>
      <c r="AK88" s="30"/>
      <c r="AL88" s="30"/>
      <c r="AM88" s="30"/>
      <c r="AN88" s="30"/>
      <c r="AO88" s="30"/>
      <c r="AP88" s="30"/>
      <c r="AQ88" s="30"/>
      <c r="AR88" s="30"/>
      <c r="AS88" s="30"/>
      <c r="AT88" s="30"/>
      <c r="AU88" s="30"/>
    </row>
    <row r="89" spans="1:47" ht="15.6" x14ac:dyDescent="0.3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  <c r="Z89" s="30"/>
      <c r="AA89" s="30"/>
      <c r="AB89" s="30"/>
      <c r="AC89" s="30"/>
      <c r="AD89" s="30"/>
      <c r="AE89" s="30"/>
      <c r="AF89" s="30"/>
      <c r="AG89" s="32"/>
      <c r="AH89" s="30"/>
      <c r="AI89" s="30"/>
      <c r="AJ89" s="30"/>
      <c r="AK89" s="30"/>
      <c r="AL89" s="30"/>
      <c r="AM89" s="30"/>
      <c r="AN89" s="30"/>
      <c r="AO89" s="30"/>
      <c r="AP89" s="30"/>
      <c r="AQ89" s="30"/>
      <c r="AR89" s="30"/>
      <c r="AS89" s="30"/>
      <c r="AT89" s="30"/>
      <c r="AU89" s="30"/>
    </row>
    <row r="90" spans="1:47" ht="15.6" x14ac:dyDescent="0.3">
      <c r="A90" s="30"/>
      <c r="B90" s="30"/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0"/>
      <c r="AB90" s="30"/>
      <c r="AC90" s="30"/>
      <c r="AD90" s="30"/>
      <c r="AE90" s="30"/>
      <c r="AF90" s="30"/>
      <c r="AG90" s="32"/>
      <c r="AH90" s="30"/>
      <c r="AI90" s="30"/>
      <c r="AJ90" s="30"/>
      <c r="AK90" s="30"/>
      <c r="AL90" s="30"/>
      <c r="AM90" s="30"/>
      <c r="AN90" s="30"/>
      <c r="AO90" s="30"/>
      <c r="AP90" s="30"/>
      <c r="AQ90" s="30"/>
      <c r="AR90" s="30"/>
      <c r="AS90" s="30"/>
      <c r="AT90" s="30"/>
      <c r="AU90" s="30"/>
    </row>
    <row r="91" spans="1:47" ht="15.6" x14ac:dyDescent="0.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0"/>
      <c r="AB91" s="30"/>
      <c r="AC91" s="30"/>
      <c r="AD91" s="30"/>
      <c r="AE91" s="30"/>
      <c r="AF91" s="30"/>
      <c r="AG91" s="32"/>
      <c r="AH91" s="30"/>
      <c r="AI91" s="30"/>
      <c r="AJ91" s="30"/>
      <c r="AK91" s="30"/>
      <c r="AL91" s="30"/>
      <c r="AM91" s="30"/>
      <c r="AN91" s="30"/>
      <c r="AO91" s="30"/>
      <c r="AP91" s="30"/>
      <c r="AQ91" s="30"/>
      <c r="AR91" s="30"/>
      <c r="AS91" s="30"/>
      <c r="AT91" s="30"/>
      <c r="AU91" s="30"/>
    </row>
    <row r="92" spans="1:47" ht="15.6" x14ac:dyDescent="0.3">
      <c r="A92" s="30"/>
      <c r="B92" s="30"/>
      <c r="C92" s="30"/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0"/>
      <c r="AB92" s="30"/>
      <c r="AC92" s="30"/>
      <c r="AD92" s="30"/>
      <c r="AE92" s="30"/>
      <c r="AF92" s="30"/>
      <c r="AG92" s="32"/>
      <c r="AH92" s="30"/>
      <c r="AI92" s="30"/>
      <c r="AJ92" s="30"/>
      <c r="AK92" s="30"/>
      <c r="AL92" s="30"/>
      <c r="AM92" s="30"/>
      <c r="AN92" s="30"/>
      <c r="AO92" s="30"/>
      <c r="AP92" s="30"/>
      <c r="AQ92" s="30"/>
      <c r="AR92" s="30"/>
      <c r="AS92" s="30"/>
      <c r="AT92" s="30"/>
      <c r="AU92" s="30"/>
    </row>
    <row r="93" spans="1:47" ht="15.6" x14ac:dyDescent="0.3">
      <c r="A93" s="30"/>
      <c r="B93" s="30"/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0"/>
      <c r="AB93" s="30"/>
      <c r="AC93" s="30"/>
      <c r="AD93" s="30"/>
      <c r="AE93" s="30"/>
      <c r="AF93" s="30"/>
      <c r="AG93" s="32"/>
      <c r="AH93" s="30"/>
      <c r="AI93" s="30"/>
      <c r="AJ93" s="30"/>
      <c r="AK93" s="30"/>
      <c r="AL93" s="30"/>
      <c r="AM93" s="30"/>
      <c r="AN93" s="30"/>
      <c r="AO93" s="30"/>
      <c r="AP93" s="30"/>
      <c r="AQ93" s="30"/>
      <c r="AR93" s="30"/>
      <c r="AS93" s="30"/>
      <c r="AT93" s="30"/>
      <c r="AU93" s="30"/>
    </row>
    <row r="94" spans="1:47" ht="15.6" x14ac:dyDescent="0.3">
      <c r="A94" s="30"/>
      <c r="B94" s="30"/>
      <c r="C94" s="30"/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0"/>
      <c r="AB94" s="30"/>
      <c r="AC94" s="30"/>
      <c r="AD94" s="30"/>
      <c r="AE94" s="30"/>
      <c r="AF94" s="30"/>
      <c r="AG94" s="32"/>
      <c r="AH94" s="30"/>
      <c r="AI94" s="30"/>
      <c r="AJ94" s="30"/>
      <c r="AK94" s="30"/>
      <c r="AL94" s="30"/>
      <c r="AM94" s="30"/>
      <c r="AN94" s="30"/>
      <c r="AO94" s="30"/>
      <c r="AP94" s="30"/>
      <c r="AQ94" s="30"/>
      <c r="AR94" s="30"/>
      <c r="AS94" s="30"/>
      <c r="AT94" s="30"/>
      <c r="AU94" s="30"/>
    </row>
    <row r="95" spans="1:47" ht="15.6" x14ac:dyDescent="0.3">
      <c r="A95" s="30"/>
      <c r="B95" s="30"/>
      <c r="C95" s="30"/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2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</row>
    <row r="96" spans="1:47" ht="15.6" x14ac:dyDescent="0.3">
      <c r="A96" s="30"/>
      <c r="B96" s="30"/>
      <c r="C96" s="30"/>
      <c r="D96" s="30"/>
      <c r="E96" s="30"/>
      <c r="F96" s="30"/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  <c r="Z96" s="30"/>
      <c r="AA96" s="30"/>
      <c r="AB96" s="30"/>
      <c r="AC96" s="30"/>
      <c r="AD96" s="30"/>
      <c r="AE96" s="30"/>
      <c r="AF96" s="30"/>
      <c r="AG96" s="32"/>
      <c r="AH96" s="30"/>
      <c r="AI96" s="30"/>
      <c r="AJ96" s="30"/>
      <c r="AK96" s="30"/>
      <c r="AL96" s="30"/>
      <c r="AM96" s="30"/>
      <c r="AN96" s="30"/>
      <c r="AO96" s="30"/>
      <c r="AP96" s="30"/>
      <c r="AQ96" s="30"/>
      <c r="AR96" s="30"/>
      <c r="AS96" s="30"/>
      <c r="AT96" s="30"/>
      <c r="AU96" s="30"/>
    </row>
    <row r="97" spans="1:47" ht="15.6" x14ac:dyDescent="0.3">
      <c r="A97" s="30"/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  <c r="Z97" s="30"/>
      <c r="AA97" s="30"/>
      <c r="AB97" s="30"/>
      <c r="AC97" s="30"/>
      <c r="AD97" s="30"/>
      <c r="AE97" s="30"/>
      <c r="AF97" s="30"/>
      <c r="AG97" s="32"/>
      <c r="AH97" s="30"/>
      <c r="AI97" s="30"/>
      <c r="AJ97" s="30"/>
      <c r="AK97" s="30"/>
      <c r="AL97" s="30"/>
      <c r="AM97" s="30"/>
      <c r="AN97" s="30"/>
      <c r="AO97" s="30"/>
      <c r="AP97" s="30"/>
      <c r="AQ97" s="30"/>
      <c r="AR97" s="30"/>
      <c r="AS97" s="30"/>
      <c r="AT97" s="30"/>
      <c r="AU97" s="30"/>
    </row>
    <row r="98" spans="1:47" ht="15.6" x14ac:dyDescent="0.3">
      <c r="A98" s="30"/>
      <c r="B98" s="30"/>
      <c r="C98" s="30"/>
      <c r="D98" s="30"/>
      <c r="E98" s="30"/>
      <c r="F98" s="30"/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  <c r="Z98" s="30"/>
      <c r="AA98" s="30"/>
      <c r="AB98" s="30"/>
      <c r="AC98" s="30"/>
      <c r="AD98" s="30"/>
      <c r="AE98" s="30"/>
      <c r="AF98" s="30"/>
      <c r="AG98" s="32"/>
      <c r="AH98" s="30"/>
      <c r="AI98" s="30"/>
      <c r="AJ98" s="30"/>
      <c r="AK98" s="30"/>
      <c r="AL98" s="30"/>
      <c r="AM98" s="30"/>
      <c r="AN98" s="30"/>
      <c r="AO98" s="30"/>
      <c r="AP98" s="30"/>
      <c r="AQ98" s="30"/>
      <c r="AR98" s="30"/>
      <c r="AS98" s="30"/>
      <c r="AT98" s="30"/>
      <c r="AU98" s="30"/>
    </row>
    <row r="99" spans="1:47" ht="15.6" x14ac:dyDescent="0.3">
      <c r="A99" s="30"/>
      <c r="B99" s="30"/>
      <c r="C99" s="30"/>
      <c r="D99" s="30"/>
      <c r="E99" s="30"/>
      <c r="F99" s="30"/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  <c r="Z99" s="30"/>
      <c r="AA99" s="30"/>
      <c r="AB99" s="30"/>
      <c r="AC99" s="30"/>
      <c r="AD99" s="30"/>
      <c r="AE99" s="30"/>
      <c r="AF99" s="30"/>
      <c r="AG99" s="32"/>
      <c r="AH99" s="30"/>
      <c r="AI99" s="30"/>
      <c r="AJ99" s="30"/>
      <c r="AK99" s="30"/>
      <c r="AL99" s="30"/>
      <c r="AM99" s="30"/>
      <c r="AN99" s="30"/>
      <c r="AO99" s="30"/>
      <c r="AP99" s="30"/>
      <c r="AQ99" s="30"/>
      <c r="AR99" s="30"/>
      <c r="AS99" s="30"/>
      <c r="AT99" s="30"/>
      <c r="AU99" s="30"/>
    </row>
    <row r="100" spans="1:47" ht="15.6" x14ac:dyDescent="0.3">
      <c r="A100" s="30"/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  <c r="Z100" s="30"/>
      <c r="AA100" s="30"/>
      <c r="AB100" s="30"/>
      <c r="AC100" s="30"/>
      <c r="AD100" s="30"/>
      <c r="AE100" s="30"/>
      <c r="AF100" s="30"/>
      <c r="AG100" s="32"/>
      <c r="AH100" s="30"/>
      <c r="AI100" s="30"/>
      <c r="AJ100" s="30"/>
      <c r="AK100" s="30"/>
      <c r="AL100" s="30"/>
      <c r="AM100" s="30"/>
      <c r="AN100" s="30"/>
      <c r="AO100" s="30"/>
      <c r="AP100" s="30"/>
      <c r="AQ100" s="30"/>
      <c r="AR100" s="30"/>
      <c r="AS100" s="30"/>
      <c r="AT100" s="30"/>
      <c r="AU100" s="30"/>
    </row>
    <row r="101" spans="1:47" ht="15.6" x14ac:dyDescent="0.3">
      <c r="A101" s="30"/>
      <c r="B101" s="30"/>
      <c r="C101" s="30"/>
      <c r="D101" s="30"/>
      <c r="E101" s="30"/>
      <c r="F101" s="30"/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  <c r="Z101" s="30"/>
      <c r="AA101" s="30"/>
      <c r="AB101" s="30"/>
      <c r="AC101" s="30"/>
      <c r="AD101" s="30"/>
      <c r="AE101" s="30"/>
      <c r="AF101" s="30"/>
      <c r="AG101" s="32"/>
      <c r="AH101" s="30"/>
      <c r="AI101" s="30"/>
      <c r="AJ101" s="30"/>
      <c r="AK101" s="30"/>
      <c r="AL101" s="30"/>
      <c r="AM101" s="30"/>
      <c r="AN101" s="30"/>
      <c r="AO101" s="30"/>
      <c r="AP101" s="30"/>
      <c r="AQ101" s="30"/>
      <c r="AR101" s="30"/>
      <c r="AS101" s="30"/>
      <c r="AT101" s="30"/>
      <c r="AU101" s="30"/>
    </row>
    <row r="102" spans="1:47" ht="15.6" x14ac:dyDescent="0.3">
      <c r="A102" s="30"/>
      <c r="B102" s="30"/>
      <c r="C102" s="30"/>
      <c r="D102" s="30"/>
      <c r="E102" s="30"/>
      <c r="F102" s="30"/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  <c r="Z102" s="30"/>
      <c r="AA102" s="30"/>
      <c r="AB102" s="30"/>
      <c r="AC102" s="30"/>
      <c r="AD102" s="30"/>
      <c r="AE102" s="30"/>
      <c r="AF102" s="30"/>
      <c r="AG102" s="32"/>
      <c r="AH102" s="30"/>
      <c r="AI102" s="30"/>
      <c r="AJ102" s="30"/>
      <c r="AK102" s="30"/>
      <c r="AL102" s="30"/>
      <c r="AM102" s="30"/>
      <c r="AN102" s="30"/>
      <c r="AO102" s="30"/>
      <c r="AP102" s="30"/>
      <c r="AQ102" s="30"/>
      <c r="AR102" s="30"/>
      <c r="AS102" s="30"/>
      <c r="AT102" s="30"/>
      <c r="AU102" s="30"/>
    </row>
    <row r="103" spans="1:47" ht="15.6" x14ac:dyDescent="0.3">
      <c r="A103" s="30"/>
      <c r="B103" s="30"/>
      <c r="C103" s="30"/>
      <c r="D103" s="30"/>
      <c r="E103" s="30"/>
      <c r="F103" s="30"/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  <c r="Z103" s="30"/>
      <c r="AA103" s="30"/>
      <c r="AB103" s="30"/>
      <c r="AC103" s="30"/>
      <c r="AD103" s="30"/>
      <c r="AE103" s="30"/>
      <c r="AF103" s="30"/>
      <c r="AG103" s="32"/>
      <c r="AH103" s="30"/>
      <c r="AI103" s="30"/>
      <c r="AJ103" s="30"/>
      <c r="AK103" s="30"/>
      <c r="AL103" s="30"/>
      <c r="AM103" s="30"/>
      <c r="AN103" s="30"/>
      <c r="AO103" s="30"/>
      <c r="AP103" s="30"/>
      <c r="AQ103" s="30"/>
      <c r="AR103" s="30"/>
      <c r="AS103" s="30"/>
      <c r="AT103" s="30"/>
      <c r="AU103" s="30"/>
    </row>
    <row r="104" spans="1:47" ht="15.6" x14ac:dyDescent="0.3">
      <c r="A104" s="30"/>
      <c r="B104" s="30"/>
      <c r="C104" s="30"/>
      <c r="D104" s="30"/>
      <c r="E104" s="30"/>
      <c r="F104" s="30"/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  <c r="Z104" s="30"/>
      <c r="AA104" s="30"/>
      <c r="AB104" s="30"/>
      <c r="AC104" s="30"/>
      <c r="AD104" s="30"/>
      <c r="AE104" s="30"/>
      <c r="AF104" s="30"/>
      <c r="AG104" s="32"/>
      <c r="AH104" s="30"/>
      <c r="AI104" s="30"/>
      <c r="AJ104" s="30"/>
      <c r="AK104" s="30"/>
      <c r="AL104" s="30"/>
      <c r="AM104" s="30"/>
      <c r="AN104" s="30"/>
      <c r="AO104" s="30"/>
      <c r="AP104" s="30"/>
      <c r="AQ104" s="30"/>
      <c r="AR104" s="30"/>
      <c r="AS104" s="30"/>
      <c r="AT104" s="30"/>
      <c r="AU104" s="30"/>
    </row>
    <row r="105" spans="1:47" ht="15.6" x14ac:dyDescent="0.3">
      <c r="A105" s="30"/>
      <c r="B105" s="30"/>
      <c r="C105" s="30"/>
      <c r="D105" s="30"/>
      <c r="E105" s="30"/>
      <c r="F105" s="30"/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  <c r="Z105" s="30"/>
      <c r="AA105" s="30"/>
      <c r="AB105" s="30"/>
      <c r="AC105" s="30"/>
      <c r="AD105" s="30"/>
      <c r="AE105" s="30"/>
      <c r="AF105" s="30"/>
      <c r="AG105" s="32"/>
      <c r="AH105" s="30"/>
      <c r="AI105" s="30"/>
      <c r="AJ105" s="30"/>
      <c r="AK105" s="30"/>
      <c r="AL105" s="30"/>
      <c r="AM105" s="30"/>
      <c r="AN105" s="30"/>
      <c r="AO105" s="30"/>
      <c r="AP105" s="30"/>
      <c r="AQ105" s="30"/>
      <c r="AR105" s="30"/>
      <c r="AS105" s="30"/>
      <c r="AT105" s="30"/>
      <c r="AU105" s="30"/>
    </row>
    <row r="106" spans="1:47" ht="15.6" x14ac:dyDescent="0.3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30"/>
      <c r="AA106" s="30"/>
      <c r="AB106" s="30"/>
      <c r="AC106" s="30"/>
      <c r="AD106" s="30"/>
      <c r="AE106" s="30"/>
      <c r="AF106" s="30"/>
      <c r="AG106" s="32"/>
      <c r="AH106" s="30"/>
      <c r="AI106" s="30"/>
      <c r="AJ106" s="30"/>
      <c r="AK106" s="30"/>
      <c r="AL106" s="30"/>
      <c r="AM106" s="30"/>
      <c r="AN106" s="30"/>
      <c r="AO106" s="30"/>
      <c r="AP106" s="30"/>
      <c r="AQ106" s="30"/>
      <c r="AR106" s="30"/>
      <c r="AS106" s="30"/>
      <c r="AT106" s="30"/>
      <c r="AU106" s="30"/>
    </row>
    <row r="107" spans="1:47" ht="15.6" x14ac:dyDescent="0.3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30"/>
      <c r="AA107" s="30"/>
      <c r="AB107" s="30"/>
      <c r="AC107" s="30"/>
      <c r="AD107" s="30"/>
      <c r="AE107" s="30"/>
      <c r="AF107" s="30"/>
      <c r="AG107" s="32"/>
      <c r="AH107" s="30"/>
      <c r="AI107" s="30"/>
      <c r="AJ107" s="30"/>
      <c r="AK107" s="30"/>
      <c r="AL107" s="30"/>
      <c r="AM107" s="30"/>
      <c r="AN107" s="30"/>
      <c r="AO107" s="30"/>
      <c r="AP107" s="30"/>
      <c r="AQ107" s="30"/>
      <c r="AR107" s="30"/>
      <c r="AS107" s="30"/>
      <c r="AT107" s="30"/>
      <c r="AU107" s="30"/>
    </row>
    <row r="108" spans="1:47" ht="15.6" x14ac:dyDescent="0.3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30"/>
      <c r="AA108" s="30"/>
      <c r="AB108" s="30"/>
      <c r="AC108" s="30"/>
      <c r="AD108" s="30"/>
      <c r="AE108" s="30"/>
      <c r="AF108" s="30"/>
      <c r="AG108" s="32"/>
      <c r="AH108" s="30"/>
      <c r="AI108" s="30"/>
      <c r="AJ108" s="30"/>
      <c r="AK108" s="30"/>
      <c r="AL108" s="30"/>
      <c r="AM108" s="30"/>
      <c r="AN108" s="30"/>
      <c r="AO108" s="30"/>
      <c r="AP108" s="30"/>
      <c r="AQ108" s="30"/>
      <c r="AR108" s="30"/>
      <c r="AS108" s="30"/>
      <c r="AT108" s="30"/>
      <c r="AU108" s="30"/>
    </row>
    <row r="109" spans="1:47" ht="15.6" x14ac:dyDescent="0.3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30"/>
      <c r="AA109" s="30"/>
      <c r="AB109" s="30"/>
      <c r="AC109" s="30"/>
      <c r="AD109" s="30"/>
      <c r="AE109" s="30"/>
      <c r="AF109" s="30"/>
      <c r="AG109" s="32"/>
      <c r="AH109" s="30"/>
      <c r="AI109" s="30"/>
      <c r="AJ109" s="30"/>
      <c r="AK109" s="30"/>
      <c r="AL109" s="30"/>
      <c r="AM109" s="30"/>
      <c r="AN109" s="30"/>
      <c r="AO109" s="30"/>
      <c r="AP109" s="30"/>
      <c r="AQ109" s="30"/>
      <c r="AR109" s="30"/>
      <c r="AS109" s="30"/>
      <c r="AT109" s="30"/>
      <c r="AU109" s="30"/>
    </row>
    <row r="110" spans="1:47" ht="15.6" x14ac:dyDescent="0.3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30"/>
      <c r="AA110" s="30"/>
      <c r="AB110" s="30"/>
      <c r="AC110" s="30"/>
      <c r="AD110" s="30"/>
      <c r="AE110" s="30"/>
      <c r="AF110" s="30"/>
      <c r="AG110" s="32"/>
      <c r="AH110" s="30"/>
      <c r="AI110" s="30"/>
      <c r="AJ110" s="30"/>
      <c r="AK110" s="30"/>
      <c r="AL110" s="30"/>
      <c r="AM110" s="30"/>
      <c r="AN110" s="30"/>
      <c r="AO110" s="30"/>
      <c r="AP110" s="30"/>
      <c r="AQ110" s="30"/>
      <c r="AR110" s="30"/>
      <c r="AS110" s="30"/>
      <c r="AT110" s="30"/>
      <c r="AU110" s="30"/>
    </row>
    <row r="111" spans="1:47" ht="15.6" x14ac:dyDescent="0.3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30"/>
      <c r="AA111" s="30"/>
      <c r="AB111" s="30"/>
      <c r="AC111" s="30"/>
      <c r="AD111" s="30"/>
      <c r="AE111" s="30"/>
      <c r="AF111" s="30"/>
      <c r="AG111" s="32"/>
      <c r="AH111" s="30"/>
      <c r="AI111" s="30"/>
      <c r="AJ111" s="30"/>
      <c r="AK111" s="30"/>
      <c r="AL111" s="30"/>
      <c r="AM111" s="30"/>
      <c r="AN111" s="30"/>
      <c r="AO111" s="30"/>
      <c r="AP111" s="30"/>
      <c r="AQ111" s="30"/>
      <c r="AR111" s="30"/>
      <c r="AS111" s="30"/>
      <c r="AT111" s="30"/>
      <c r="AU111" s="30"/>
    </row>
    <row r="112" spans="1:47" ht="15.6" x14ac:dyDescent="0.3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30"/>
      <c r="AA112" s="30"/>
      <c r="AB112" s="30"/>
      <c r="AC112" s="30"/>
      <c r="AD112" s="30"/>
      <c r="AE112" s="30"/>
      <c r="AF112" s="30"/>
      <c r="AG112" s="32"/>
      <c r="AH112" s="30"/>
      <c r="AI112" s="30"/>
      <c r="AJ112" s="30"/>
      <c r="AK112" s="30"/>
      <c r="AL112" s="30"/>
      <c r="AM112" s="30"/>
      <c r="AN112" s="30"/>
      <c r="AO112" s="30"/>
      <c r="AP112" s="30"/>
      <c r="AQ112" s="30"/>
      <c r="AR112" s="30"/>
      <c r="AS112" s="30"/>
      <c r="AT112" s="30"/>
      <c r="AU112" s="30"/>
    </row>
    <row r="113" spans="1:47" ht="15.6" x14ac:dyDescent="0.3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30"/>
      <c r="AA113" s="30"/>
      <c r="AB113" s="30"/>
      <c r="AC113" s="30"/>
      <c r="AD113" s="30"/>
      <c r="AE113" s="30"/>
      <c r="AF113" s="30"/>
      <c r="AG113" s="32"/>
      <c r="AH113" s="30"/>
      <c r="AI113" s="30"/>
      <c r="AJ113" s="30"/>
      <c r="AK113" s="30"/>
      <c r="AL113" s="30"/>
      <c r="AM113" s="30"/>
      <c r="AN113" s="30"/>
      <c r="AO113" s="30"/>
      <c r="AP113" s="30"/>
      <c r="AQ113" s="30"/>
      <c r="AR113" s="30"/>
      <c r="AS113" s="30"/>
      <c r="AT113" s="30"/>
      <c r="AU113" s="30"/>
    </row>
    <row r="114" spans="1:47" ht="15.6" x14ac:dyDescent="0.3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30"/>
      <c r="AA114" s="30"/>
      <c r="AB114" s="30"/>
      <c r="AC114" s="30"/>
      <c r="AD114" s="30"/>
      <c r="AE114" s="30"/>
      <c r="AF114" s="30"/>
      <c r="AG114" s="32"/>
      <c r="AH114" s="30"/>
      <c r="AI114" s="30"/>
      <c r="AJ114" s="30"/>
      <c r="AK114" s="30"/>
      <c r="AL114" s="30"/>
      <c r="AM114" s="30"/>
      <c r="AN114" s="30"/>
      <c r="AO114" s="30"/>
      <c r="AP114" s="30"/>
      <c r="AQ114" s="30"/>
      <c r="AR114" s="30"/>
      <c r="AS114" s="30"/>
      <c r="AT114" s="30"/>
      <c r="AU114" s="30"/>
    </row>
    <row r="115" spans="1:47" ht="15.6" x14ac:dyDescent="0.3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30"/>
      <c r="AA115" s="30"/>
      <c r="AB115" s="30"/>
      <c r="AC115" s="30"/>
      <c r="AD115" s="30"/>
      <c r="AE115" s="30"/>
      <c r="AF115" s="30"/>
      <c r="AG115" s="32"/>
      <c r="AH115" s="30"/>
      <c r="AI115" s="30"/>
      <c r="AJ115" s="30"/>
      <c r="AK115" s="30"/>
      <c r="AL115" s="30"/>
      <c r="AM115" s="30"/>
      <c r="AN115" s="30"/>
      <c r="AO115" s="30"/>
      <c r="AP115" s="30"/>
      <c r="AQ115" s="30"/>
      <c r="AR115" s="30"/>
      <c r="AS115" s="30"/>
      <c r="AT115" s="30"/>
      <c r="AU115" s="30"/>
    </row>
    <row r="116" spans="1:47" ht="15.6" x14ac:dyDescent="0.3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30"/>
      <c r="AA116" s="30"/>
      <c r="AB116" s="30"/>
      <c r="AC116" s="30"/>
      <c r="AD116" s="30"/>
      <c r="AE116" s="30"/>
      <c r="AF116" s="30"/>
      <c r="AG116" s="32"/>
      <c r="AH116" s="30"/>
      <c r="AI116" s="30"/>
      <c r="AJ116" s="30"/>
      <c r="AK116" s="30"/>
      <c r="AL116" s="30"/>
      <c r="AM116" s="30"/>
      <c r="AN116" s="30"/>
      <c r="AO116" s="30"/>
      <c r="AP116" s="30"/>
      <c r="AQ116" s="30"/>
      <c r="AR116" s="30"/>
      <c r="AS116" s="30"/>
      <c r="AT116" s="30"/>
      <c r="AU116" s="30"/>
    </row>
    <row r="117" spans="1:47" ht="15.6" x14ac:dyDescent="0.3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30"/>
      <c r="AA117" s="30"/>
      <c r="AB117" s="30"/>
      <c r="AC117" s="30"/>
      <c r="AD117" s="30"/>
      <c r="AE117" s="30"/>
      <c r="AF117" s="30"/>
      <c r="AG117" s="32"/>
      <c r="AH117" s="30"/>
      <c r="AI117" s="30"/>
      <c r="AJ117" s="30"/>
      <c r="AK117" s="30"/>
      <c r="AL117" s="30"/>
      <c r="AM117" s="30"/>
      <c r="AN117" s="30"/>
      <c r="AO117" s="30"/>
      <c r="AP117" s="30"/>
      <c r="AQ117" s="30"/>
      <c r="AR117" s="30"/>
      <c r="AS117" s="30"/>
      <c r="AT117" s="30"/>
      <c r="AU117" s="30"/>
    </row>
    <row r="118" spans="1:47" ht="15.6" x14ac:dyDescent="0.3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30"/>
      <c r="AA118" s="30"/>
      <c r="AB118" s="30"/>
      <c r="AC118" s="30"/>
      <c r="AD118" s="30"/>
      <c r="AE118" s="30"/>
      <c r="AF118" s="30"/>
      <c r="AG118" s="32"/>
      <c r="AH118" s="30"/>
      <c r="AI118" s="30"/>
      <c r="AJ118" s="30"/>
      <c r="AK118" s="30"/>
      <c r="AL118" s="30"/>
      <c r="AM118" s="30"/>
      <c r="AN118" s="30"/>
      <c r="AO118" s="30"/>
      <c r="AP118" s="30"/>
      <c r="AQ118" s="30"/>
      <c r="AR118" s="30"/>
      <c r="AS118" s="30"/>
      <c r="AT118" s="30"/>
      <c r="AU118" s="30"/>
    </row>
    <row r="119" spans="1:47" ht="15.6" x14ac:dyDescent="0.3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30"/>
      <c r="AA119" s="30"/>
      <c r="AB119" s="30"/>
      <c r="AC119" s="30"/>
      <c r="AD119" s="30"/>
      <c r="AE119" s="30"/>
      <c r="AF119" s="30"/>
      <c r="AG119" s="32"/>
      <c r="AH119" s="30"/>
      <c r="AI119" s="30"/>
      <c r="AJ119" s="30"/>
      <c r="AK119" s="30"/>
      <c r="AL119" s="30"/>
      <c r="AM119" s="30"/>
      <c r="AN119" s="30"/>
      <c r="AO119" s="30"/>
      <c r="AP119" s="30"/>
      <c r="AQ119" s="30"/>
      <c r="AR119" s="30"/>
      <c r="AS119" s="30"/>
      <c r="AT119" s="30"/>
      <c r="AU119" s="30"/>
    </row>
    <row r="120" spans="1:47" ht="15.6" x14ac:dyDescent="0.3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30"/>
      <c r="AA120" s="30"/>
      <c r="AB120" s="30"/>
      <c r="AC120" s="30"/>
      <c r="AD120" s="30"/>
      <c r="AE120" s="30"/>
      <c r="AF120" s="30"/>
      <c r="AG120" s="32"/>
      <c r="AH120" s="30"/>
      <c r="AI120" s="30"/>
      <c r="AJ120" s="30"/>
      <c r="AK120" s="30"/>
      <c r="AL120" s="30"/>
      <c r="AM120" s="30"/>
      <c r="AN120" s="30"/>
      <c r="AO120" s="30"/>
      <c r="AP120" s="30"/>
      <c r="AQ120" s="30"/>
      <c r="AR120" s="30"/>
      <c r="AS120" s="30"/>
      <c r="AT120" s="30"/>
      <c r="AU120" s="30"/>
    </row>
    <row r="121" spans="1:47" ht="15.6" x14ac:dyDescent="0.3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30"/>
      <c r="AA121" s="30"/>
      <c r="AB121" s="30"/>
      <c r="AC121" s="30"/>
      <c r="AD121" s="30"/>
      <c r="AE121" s="30"/>
      <c r="AF121" s="30"/>
      <c r="AG121" s="32"/>
      <c r="AH121" s="30"/>
      <c r="AI121" s="30"/>
      <c r="AJ121" s="30"/>
      <c r="AK121" s="30"/>
      <c r="AL121" s="30"/>
      <c r="AM121" s="30"/>
      <c r="AN121" s="30"/>
      <c r="AO121" s="30"/>
      <c r="AP121" s="30"/>
      <c r="AQ121" s="30"/>
      <c r="AR121" s="30"/>
      <c r="AS121" s="30"/>
      <c r="AT121" s="30"/>
      <c r="AU121" s="30"/>
    </row>
    <row r="122" spans="1:47" ht="15.6" x14ac:dyDescent="0.3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30"/>
      <c r="AA122" s="30"/>
      <c r="AB122" s="30"/>
      <c r="AC122" s="30"/>
      <c r="AD122" s="30"/>
      <c r="AE122" s="30"/>
      <c r="AF122" s="30"/>
      <c r="AG122" s="32"/>
      <c r="AH122" s="30"/>
      <c r="AI122" s="30"/>
      <c r="AJ122" s="30"/>
      <c r="AK122" s="30"/>
      <c r="AL122" s="30"/>
      <c r="AM122" s="30"/>
      <c r="AN122" s="30"/>
      <c r="AO122" s="30"/>
      <c r="AP122" s="30"/>
      <c r="AQ122" s="30"/>
      <c r="AR122" s="30"/>
      <c r="AS122" s="30"/>
      <c r="AT122" s="30"/>
      <c r="AU122" s="30"/>
    </row>
    <row r="123" spans="1:47" ht="15.6" x14ac:dyDescent="0.3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30"/>
      <c r="AA123" s="30"/>
      <c r="AB123" s="30"/>
      <c r="AC123" s="30"/>
      <c r="AD123" s="30"/>
      <c r="AE123" s="30"/>
      <c r="AF123" s="30"/>
      <c r="AG123" s="32"/>
      <c r="AH123" s="30"/>
      <c r="AI123" s="30"/>
      <c r="AJ123" s="30"/>
      <c r="AK123" s="30"/>
      <c r="AL123" s="30"/>
      <c r="AM123" s="30"/>
      <c r="AN123" s="30"/>
      <c r="AO123" s="30"/>
      <c r="AP123" s="30"/>
      <c r="AQ123" s="30"/>
      <c r="AR123" s="30"/>
      <c r="AS123" s="30"/>
      <c r="AT123" s="30"/>
      <c r="AU123" s="30"/>
    </row>
    <row r="124" spans="1:47" ht="15.6" x14ac:dyDescent="0.3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30"/>
      <c r="AA124" s="30"/>
      <c r="AB124" s="30"/>
      <c r="AC124" s="30"/>
      <c r="AD124" s="30"/>
      <c r="AE124" s="30"/>
      <c r="AF124" s="30"/>
      <c r="AG124" s="32"/>
      <c r="AH124" s="30"/>
      <c r="AI124" s="30"/>
      <c r="AJ124" s="30"/>
      <c r="AK124" s="30"/>
      <c r="AL124" s="30"/>
      <c r="AM124" s="30"/>
      <c r="AN124" s="30"/>
      <c r="AO124" s="30"/>
      <c r="AP124" s="30"/>
      <c r="AQ124" s="30"/>
      <c r="AR124" s="30"/>
      <c r="AS124" s="30"/>
      <c r="AT124" s="30"/>
      <c r="AU124" s="30"/>
    </row>
    <row r="125" spans="1:47" ht="15.6" x14ac:dyDescent="0.3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30"/>
      <c r="AA125" s="30"/>
      <c r="AB125" s="30"/>
      <c r="AC125" s="30"/>
      <c r="AD125" s="30"/>
      <c r="AE125" s="30"/>
      <c r="AF125" s="30"/>
      <c r="AG125" s="32"/>
      <c r="AH125" s="30"/>
      <c r="AI125" s="30"/>
      <c r="AJ125" s="30"/>
      <c r="AK125" s="30"/>
      <c r="AL125" s="30"/>
      <c r="AM125" s="30"/>
      <c r="AN125" s="30"/>
      <c r="AO125" s="30"/>
      <c r="AP125" s="30"/>
      <c r="AQ125" s="30"/>
      <c r="AR125" s="30"/>
      <c r="AS125" s="30"/>
      <c r="AT125" s="30"/>
      <c r="AU125" s="30"/>
    </row>
    <row r="126" spans="1:47" ht="15.6" x14ac:dyDescent="0.3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30"/>
      <c r="AA126" s="30"/>
      <c r="AB126" s="30"/>
      <c r="AC126" s="30"/>
      <c r="AD126" s="30"/>
      <c r="AE126" s="30"/>
      <c r="AF126" s="30"/>
      <c r="AG126" s="32"/>
      <c r="AH126" s="30"/>
      <c r="AI126" s="30"/>
      <c r="AJ126" s="30"/>
      <c r="AK126" s="30"/>
      <c r="AL126" s="30"/>
      <c r="AM126" s="30"/>
      <c r="AN126" s="30"/>
      <c r="AO126" s="30"/>
      <c r="AP126" s="30"/>
      <c r="AQ126" s="30"/>
      <c r="AR126" s="30"/>
      <c r="AS126" s="30"/>
      <c r="AT126" s="30"/>
      <c r="AU126" s="30"/>
    </row>
    <row r="127" spans="1:47" ht="15.6" x14ac:dyDescent="0.3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30"/>
      <c r="AA127" s="30"/>
      <c r="AB127" s="30"/>
      <c r="AC127" s="30"/>
      <c r="AD127" s="30"/>
      <c r="AE127" s="30"/>
      <c r="AF127" s="30"/>
      <c r="AG127" s="32"/>
      <c r="AH127" s="30"/>
      <c r="AI127" s="30"/>
      <c r="AJ127" s="30"/>
      <c r="AK127" s="30"/>
      <c r="AL127" s="30"/>
      <c r="AM127" s="30"/>
      <c r="AN127" s="30"/>
      <c r="AO127" s="30"/>
      <c r="AP127" s="30"/>
      <c r="AQ127" s="30"/>
      <c r="AR127" s="30"/>
      <c r="AS127" s="30"/>
      <c r="AT127" s="30"/>
      <c r="AU127" s="30"/>
    </row>
    <row r="128" spans="1:47" ht="15.6" x14ac:dyDescent="0.3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30"/>
      <c r="AA128" s="30"/>
      <c r="AB128" s="30"/>
      <c r="AC128" s="30"/>
      <c r="AD128" s="30"/>
      <c r="AE128" s="30"/>
      <c r="AF128" s="30"/>
      <c r="AG128" s="32"/>
      <c r="AH128" s="30"/>
      <c r="AI128" s="30"/>
      <c r="AJ128" s="30"/>
      <c r="AK128" s="30"/>
      <c r="AL128" s="30"/>
      <c r="AM128" s="30"/>
      <c r="AN128" s="30"/>
      <c r="AO128" s="30"/>
      <c r="AP128" s="30"/>
      <c r="AQ128" s="30"/>
      <c r="AR128" s="30"/>
      <c r="AS128" s="30"/>
      <c r="AT128" s="30"/>
      <c r="AU128" s="30"/>
    </row>
    <row r="129" spans="1:47" ht="15.6" x14ac:dyDescent="0.3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30"/>
      <c r="AA129" s="30"/>
      <c r="AB129" s="30"/>
      <c r="AC129" s="30"/>
      <c r="AD129" s="30"/>
      <c r="AE129" s="30"/>
      <c r="AF129" s="30"/>
      <c r="AG129" s="32"/>
      <c r="AH129" s="30"/>
      <c r="AI129" s="30"/>
      <c r="AJ129" s="30"/>
      <c r="AK129" s="30"/>
      <c r="AL129" s="30"/>
      <c r="AM129" s="30"/>
      <c r="AN129" s="30"/>
      <c r="AO129" s="30"/>
      <c r="AP129" s="30"/>
      <c r="AQ129" s="30"/>
      <c r="AR129" s="30"/>
      <c r="AS129" s="30"/>
      <c r="AT129" s="30"/>
      <c r="AU129" s="30"/>
    </row>
    <row r="130" spans="1:47" ht="15.6" x14ac:dyDescent="0.3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30"/>
      <c r="AA130" s="30"/>
      <c r="AB130" s="30"/>
      <c r="AC130" s="30"/>
      <c r="AD130" s="30"/>
      <c r="AE130" s="30"/>
      <c r="AF130" s="30"/>
      <c r="AG130" s="32"/>
      <c r="AH130" s="30"/>
      <c r="AI130" s="30"/>
      <c r="AJ130" s="30"/>
      <c r="AK130" s="30"/>
      <c r="AL130" s="30"/>
      <c r="AM130" s="30"/>
      <c r="AN130" s="30"/>
      <c r="AO130" s="30"/>
      <c r="AP130" s="30"/>
      <c r="AQ130" s="30"/>
      <c r="AR130" s="30"/>
      <c r="AS130" s="30"/>
      <c r="AT130" s="30"/>
      <c r="AU130" s="30"/>
    </row>
    <row r="131" spans="1:47" ht="15.6" x14ac:dyDescent="0.3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30"/>
      <c r="AA131" s="30"/>
      <c r="AB131" s="30"/>
      <c r="AC131" s="30"/>
      <c r="AD131" s="30"/>
      <c r="AE131" s="30"/>
      <c r="AF131" s="30"/>
      <c r="AG131" s="32"/>
      <c r="AH131" s="30"/>
      <c r="AI131" s="30"/>
      <c r="AJ131" s="30"/>
      <c r="AK131" s="30"/>
      <c r="AL131" s="30"/>
      <c r="AM131" s="30"/>
      <c r="AN131" s="30"/>
      <c r="AO131" s="30"/>
      <c r="AP131" s="30"/>
      <c r="AQ131" s="30"/>
      <c r="AR131" s="30"/>
      <c r="AS131" s="30"/>
      <c r="AT131" s="30"/>
      <c r="AU131" s="30"/>
    </row>
    <row r="132" spans="1:47" ht="15.6" x14ac:dyDescent="0.3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30"/>
      <c r="AA132" s="30"/>
      <c r="AB132" s="30"/>
      <c r="AC132" s="30"/>
      <c r="AD132" s="30"/>
      <c r="AE132" s="30"/>
      <c r="AF132" s="30"/>
      <c r="AG132" s="32"/>
      <c r="AH132" s="30"/>
      <c r="AI132" s="30"/>
      <c r="AJ132" s="30"/>
      <c r="AK132" s="30"/>
      <c r="AL132" s="30"/>
      <c r="AM132" s="30"/>
      <c r="AN132" s="30"/>
      <c r="AO132" s="30"/>
      <c r="AP132" s="30"/>
      <c r="AQ132" s="30"/>
      <c r="AR132" s="30"/>
      <c r="AS132" s="30"/>
      <c r="AT132" s="30"/>
      <c r="AU132" s="30"/>
    </row>
    <row r="133" spans="1:47" ht="15.6" x14ac:dyDescent="0.3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30"/>
      <c r="AA133" s="30"/>
      <c r="AB133" s="30"/>
      <c r="AC133" s="30"/>
      <c r="AD133" s="30"/>
      <c r="AE133" s="30"/>
      <c r="AF133" s="30"/>
      <c r="AG133" s="32"/>
      <c r="AH133" s="30"/>
      <c r="AI133" s="30"/>
      <c r="AJ133" s="30"/>
      <c r="AK133" s="30"/>
      <c r="AL133" s="30"/>
      <c r="AM133" s="30"/>
      <c r="AN133" s="30"/>
      <c r="AO133" s="30"/>
      <c r="AP133" s="30"/>
      <c r="AQ133" s="30"/>
      <c r="AR133" s="30"/>
      <c r="AS133" s="30"/>
      <c r="AT133" s="30"/>
      <c r="AU133" s="30"/>
    </row>
    <row r="134" spans="1:47" ht="15.6" x14ac:dyDescent="0.3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30"/>
      <c r="AA134" s="30"/>
      <c r="AB134" s="30"/>
      <c r="AC134" s="30"/>
      <c r="AD134" s="30"/>
      <c r="AE134" s="30"/>
      <c r="AF134" s="30"/>
      <c r="AG134" s="32"/>
      <c r="AH134" s="30"/>
      <c r="AI134" s="30"/>
      <c r="AJ134" s="30"/>
      <c r="AK134" s="30"/>
      <c r="AL134" s="30"/>
      <c r="AM134" s="30"/>
      <c r="AN134" s="30"/>
      <c r="AO134" s="30"/>
      <c r="AP134" s="30"/>
      <c r="AQ134" s="30"/>
      <c r="AR134" s="30"/>
      <c r="AS134" s="30"/>
      <c r="AT134" s="30"/>
      <c r="AU134" s="30"/>
    </row>
    <row r="135" spans="1:47" ht="15.6" x14ac:dyDescent="0.3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30"/>
      <c r="AA135" s="30"/>
      <c r="AB135" s="30"/>
      <c r="AC135" s="30"/>
      <c r="AD135" s="30"/>
      <c r="AE135" s="30"/>
      <c r="AF135" s="30"/>
      <c r="AG135" s="32"/>
      <c r="AH135" s="30"/>
      <c r="AI135" s="30"/>
      <c r="AJ135" s="30"/>
      <c r="AK135" s="30"/>
      <c r="AL135" s="30"/>
      <c r="AM135" s="30"/>
      <c r="AN135" s="30"/>
      <c r="AO135" s="30"/>
      <c r="AP135" s="30"/>
      <c r="AQ135" s="30"/>
      <c r="AR135" s="30"/>
      <c r="AS135" s="30"/>
      <c r="AT135" s="30"/>
      <c r="AU135" s="30"/>
    </row>
    <row r="136" spans="1:47" ht="15.6" x14ac:dyDescent="0.3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30"/>
      <c r="AA136" s="30"/>
      <c r="AB136" s="30"/>
      <c r="AC136" s="30"/>
      <c r="AD136" s="30"/>
      <c r="AE136" s="30"/>
      <c r="AF136" s="30"/>
      <c r="AG136" s="32"/>
      <c r="AH136" s="30"/>
      <c r="AI136" s="30"/>
      <c r="AJ136" s="30"/>
      <c r="AK136" s="30"/>
      <c r="AL136" s="30"/>
      <c r="AM136" s="30"/>
      <c r="AN136" s="30"/>
      <c r="AO136" s="30"/>
      <c r="AP136" s="30"/>
      <c r="AQ136" s="30"/>
      <c r="AR136" s="30"/>
      <c r="AS136" s="30"/>
      <c r="AT136" s="30"/>
      <c r="AU136" s="30"/>
    </row>
    <row r="137" spans="1:47" ht="15.6" x14ac:dyDescent="0.3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30"/>
      <c r="AA137" s="30"/>
      <c r="AB137" s="30"/>
      <c r="AC137" s="30"/>
      <c r="AD137" s="30"/>
      <c r="AE137" s="30"/>
      <c r="AF137" s="30"/>
      <c r="AG137" s="32"/>
      <c r="AH137" s="30"/>
      <c r="AI137" s="30"/>
      <c r="AJ137" s="30"/>
      <c r="AK137" s="30"/>
      <c r="AL137" s="30"/>
      <c r="AM137" s="30"/>
      <c r="AN137" s="30"/>
      <c r="AO137" s="30"/>
      <c r="AP137" s="30"/>
      <c r="AQ137" s="30"/>
      <c r="AR137" s="30"/>
      <c r="AS137" s="30"/>
      <c r="AT137" s="30"/>
      <c r="AU137" s="30"/>
    </row>
    <row r="138" spans="1:47" ht="15.6" x14ac:dyDescent="0.3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30"/>
      <c r="AA138" s="30"/>
      <c r="AB138" s="30"/>
      <c r="AC138" s="30"/>
      <c r="AD138" s="30"/>
      <c r="AE138" s="30"/>
      <c r="AF138" s="30"/>
      <c r="AG138" s="32"/>
      <c r="AH138" s="30"/>
      <c r="AI138" s="30"/>
      <c r="AJ138" s="30"/>
      <c r="AK138" s="30"/>
      <c r="AL138" s="30"/>
      <c r="AM138" s="30"/>
      <c r="AN138" s="30"/>
      <c r="AO138" s="30"/>
      <c r="AP138" s="30"/>
      <c r="AQ138" s="30"/>
      <c r="AR138" s="30"/>
      <c r="AS138" s="30"/>
      <c r="AT138" s="30"/>
      <c r="AU138" s="30"/>
    </row>
    <row r="139" spans="1:47" ht="15.6" x14ac:dyDescent="0.3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30"/>
      <c r="AA139" s="30"/>
      <c r="AB139" s="30"/>
      <c r="AC139" s="30"/>
      <c r="AD139" s="30"/>
      <c r="AE139" s="30"/>
      <c r="AF139" s="30"/>
      <c r="AG139" s="32"/>
      <c r="AH139" s="30"/>
      <c r="AI139" s="30"/>
      <c r="AJ139" s="30"/>
      <c r="AK139" s="30"/>
      <c r="AL139" s="30"/>
      <c r="AM139" s="30"/>
      <c r="AN139" s="30"/>
      <c r="AO139" s="30"/>
      <c r="AP139" s="30"/>
      <c r="AQ139" s="30"/>
      <c r="AR139" s="30"/>
      <c r="AS139" s="30"/>
      <c r="AT139" s="30"/>
      <c r="AU139" s="30"/>
    </row>
    <row r="140" spans="1:47" ht="15.6" x14ac:dyDescent="0.3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30"/>
      <c r="AA140" s="30"/>
      <c r="AB140" s="30"/>
      <c r="AC140" s="30"/>
      <c r="AD140" s="30"/>
      <c r="AE140" s="30"/>
      <c r="AF140" s="30"/>
      <c r="AG140" s="32"/>
      <c r="AH140" s="30"/>
      <c r="AI140" s="30"/>
      <c r="AJ140" s="30"/>
      <c r="AK140" s="30"/>
      <c r="AL140" s="30"/>
      <c r="AM140" s="30"/>
      <c r="AN140" s="30"/>
      <c r="AO140" s="30"/>
      <c r="AP140" s="30"/>
      <c r="AQ140" s="30"/>
      <c r="AR140" s="30"/>
      <c r="AS140" s="30"/>
      <c r="AT140" s="30"/>
      <c r="AU140" s="30"/>
    </row>
    <row r="141" spans="1:47" ht="15.6" x14ac:dyDescent="0.3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30"/>
      <c r="AA141" s="30"/>
      <c r="AB141" s="30"/>
      <c r="AC141" s="30"/>
      <c r="AD141" s="30"/>
      <c r="AE141" s="30"/>
      <c r="AF141" s="30"/>
      <c r="AG141" s="32"/>
      <c r="AH141" s="30"/>
      <c r="AI141" s="30"/>
      <c r="AJ141" s="30"/>
      <c r="AK141" s="30"/>
      <c r="AL141" s="30"/>
      <c r="AM141" s="30"/>
      <c r="AN141" s="30"/>
      <c r="AO141" s="30"/>
      <c r="AP141" s="30"/>
      <c r="AQ141" s="30"/>
      <c r="AR141" s="30"/>
      <c r="AS141" s="30"/>
      <c r="AT141" s="30"/>
      <c r="AU141" s="30"/>
    </row>
    <row r="142" spans="1:47" ht="15.6" x14ac:dyDescent="0.3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30"/>
      <c r="AA142" s="30"/>
      <c r="AB142" s="30"/>
      <c r="AC142" s="30"/>
      <c r="AD142" s="30"/>
      <c r="AE142" s="30"/>
      <c r="AF142" s="30"/>
      <c r="AG142" s="32"/>
      <c r="AH142" s="30"/>
      <c r="AI142" s="30"/>
      <c r="AJ142" s="30"/>
      <c r="AK142" s="30"/>
      <c r="AL142" s="30"/>
      <c r="AM142" s="30"/>
      <c r="AN142" s="30"/>
      <c r="AO142" s="30"/>
      <c r="AP142" s="30"/>
      <c r="AQ142" s="30"/>
      <c r="AR142" s="30"/>
      <c r="AS142" s="30"/>
      <c r="AT142" s="30"/>
      <c r="AU142" s="30"/>
    </row>
    <row r="143" spans="1:47" ht="15.6" x14ac:dyDescent="0.3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30"/>
      <c r="AA143" s="30"/>
      <c r="AB143" s="30"/>
      <c r="AC143" s="30"/>
      <c r="AD143" s="30"/>
      <c r="AE143" s="30"/>
      <c r="AF143" s="30"/>
      <c r="AG143" s="32"/>
      <c r="AH143" s="30"/>
      <c r="AI143" s="30"/>
      <c r="AJ143" s="30"/>
      <c r="AK143" s="30"/>
      <c r="AL143" s="30"/>
      <c r="AM143" s="30"/>
      <c r="AN143" s="30"/>
      <c r="AO143" s="30"/>
      <c r="AP143" s="30"/>
      <c r="AQ143" s="30"/>
      <c r="AR143" s="30"/>
      <c r="AS143" s="30"/>
      <c r="AT143" s="30"/>
      <c r="AU143" s="30"/>
    </row>
    <row r="144" spans="1:47" ht="15.6" x14ac:dyDescent="0.3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30"/>
      <c r="AA144" s="30"/>
      <c r="AB144" s="30"/>
      <c r="AC144" s="30"/>
      <c r="AD144" s="30"/>
      <c r="AE144" s="30"/>
      <c r="AF144" s="30"/>
      <c r="AG144" s="32"/>
      <c r="AH144" s="30"/>
      <c r="AI144" s="30"/>
      <c r="AJ144" s="30"/>
      <c r="AK144" s="30"/>
      <c r="AL144" s="30"/>
      <c r="AM144" s="30"/>
      <c r="AN144" s="30"/>
      <c r="AO144" s="30"/>
      <c r="AP144" s="30"/>
      <c r="AQ144" s="30"/>
      <c r="AR144" s="30"/>
      <c r="AS144" s="30"/>
      <c r="AT144" s="30"/>
      <c r="AU144" s="30"/>
    </row>
    <row r="145" spans="1:47" ht="15.6" x14ac:dyDescent="0.3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30"/>
      <c r="AA145" s="30"/>
      <c r="AB145" s="30"/>
      <c r="AC145" s="30"/>
      <c r="AD145" s="30"/>
      <c r="AE145" s="30"/>
      <c r="AF145" s="30"/>
      <c r="AG145" s="32"/>
      <c r="AH145" s="30"/>
      <c r="AI145" s="30"/>
      <c r="AJ145" s="30"/>
      <c r="AK145" s="30"/>
      <c r="AL145" s="30"/>
      <c r="AM145" s="30"/>
      <c r="AN145" s="30"/>
      <c r="AO145" s="30"/>
      <c r="AP145" s="30"/>
      <c r="AQ145" s="30"/>
      <c r="AR145" s="30"/>
      <c r="AS145" s="30"/>
      <c r="AT145" s="30"/>
      <c r="AU145" s="30"/>
    </row>
    <row r="146" spans="1:47" ht="15.6" x14ac:dyDescent="0.3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30"/>
      <c r="AA146" s="30"/>
      <c r="AB146" s="30"/>
      <c r="AC146" s="30"/>
      <c r="AD146" s="30"/>
      <c r="AE146" s="30"/>
      <c r="AF146" s="30"/>
      <c r="AG146" s="32"/>
      <c r="AH146" s="30"/>
      <c r="AI146" s="30"/>
      <c r="AJ146" s="30"/>
      <c r="AK146" s="30"/>
      <c r="AL146" s="30"/>
      <c r="AM146" s="30"/>
      <c r="AN146" s="30"/>
      <c r="AO146" s="30"/>
      <c r="AP146" s="30"/>
      <c r="AQ146" s="30"/>
      <c r="AR146" s="30"/>
      <c r="AS146" s="30"/>
      <c r="AT146" s="30"/>
      <c r="AU146" s="30"/>
    </row>
    <row r="147" spans="1:47" ht="15.6" x14ac:dyDescent="0.3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30"/>
      <c r="AA147" s="30"/>
      <c r="AB147" s="30"/>
      <c r="AC147" s="30"/>
      <c r="AD147" s="30"/>
      <c r="AE147" s="30"/>
      <c r="AF147" s="30"/>
      <c r="AG147" s="32"/>
      <c r="AH147" s="30"/>
      <c r="AI147" s="30"/>
      <c r="AJ147" s="30"/>
      <c r="AK147" s="30"/>
      <c r="AL147" s="30"/>
      <c r="AM147" s="30"/>
      <c r="AN147" s="30"/>
      <c r="AO147" s="30"/>
      <c r="AP147" s="30"/>
      <c r="AQ147" s="30"/>
      <c r="AR147" s="30"/>
      <c r="AS147" s="30"/>
      <c r="AT147" s="30"/>
      <c r="AU147" s="30"/>
    </row>
    <row r="148" spans="1:47" ht="15.6" x14ac:dyDescent="0.3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30"/>
      <c r="AA148" s="30"/>
      <c r="AB148" s="30"/>
      <c r="AC148" s="30"/>
      <c r="AD148" s="30"/>
      <c r="AE148" s="30"/>
      <c r="AF148" s="30"/>
      <c r="AG148" s="32"/>
      <c r="AH148" s="30"/>
      <c r="AI148" s="30"/>
      <c r="AJ148" s="30"/>
      <c r="AK148" s="30"/>
      <c r="AL148" s="30"/>
      <c r="AM148" s="30"/>
      <c r="AN148" s="30"/>
      <c r="AO148" s="30"/>
      <c r="AP148" s="30"/>
      <c r="AQ148" s="30"/>
      <c r="AR148" s="30"/>
      <c r="AS148" s="30"/>
      <c r="AT148" s="30"/>
      <c r="AU148" s="30"/>
    </row>
    <row r="149" spans="1:47" ht="15.6" x14ac:dyDescent="0.3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2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</row>
    <row r="150" spans="1:47" ht="15.6" x14ac:dyDescent="0.3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2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</row>
    <row r="151" spans="1:47" ht="15.6" x14ac:dyDescent="0.3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2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</row>
    <row r="152" spans="1:47" ht="15.6" x14ac:dyDescent="0.3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30"/>
      <c r="AA152" s="30"/>
      <c r="AB152" s="30"/>
      <c r="AC152" s="30"/>
      <c r="AD152" s="30"/>
      <c r="AE152" s="30"/>
      <c r="AF152" s="30"/>
      <c r="AG152" s="32"/>
      <c r="AH152" s="30"/>
      <c r="AI152" s="30"/>
      <c r="AJ152" s="30"/>
      <c r="AK152" s="30"/>
      <c r="AL152" s="30"/>
      <c r="AM152" s="30"/>
      <c r="AN152" s="30"/>
      <c r="AO152" s="30"/>
      <c r="AP152" s="30"/>
      <c r="AQ152" s="30"/>
      <c r="AR152" s="30"/>
      <c r="AS152" s="30"/>
      <c r="AT152" s="30"/>
      <c r="AU152" s="30"/>
    </row>
    <row r="153" spans="1:47" ht="15.6" x14ac:dyDescent="0.3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30"/>
      <c r="AA153" s="30"/>
      <c r="AB153" s="30"/>
      <c r="AC153" s="30"/>
      <c r="AD153" s="30"/>
      <c r="AE153" s="30"/>
      <c r="AF153" s="30"/>
      <c r="AG153" s="32"/>
      <c r="AH153" s="30"/>
      <c r="AI153" s="30"/>
      <c r="AJ153" s="30"/>
      <c r="AK153" s="30"/>
      <c r="AL153" s="30"/>
      <c r="AM153" s="30"/>
      <c r="AN153" s="30"/>
      <c r="AO153" s="30"/>
      <c r="AP153" s="30"/>
      <c r="AQ153" s="30"/>
      <c r="AR153" s="30"/>
      <c r="AS153" s="30"/>
      <c r="AT153" s="30"/>
      <c r="AU153" s="30"/>
    </row>
    <row r="154" spans="1:47" ht="15.6" x14ac:dyDescent="0.3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2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</row>
    <row r="155" spans="1:47" ht="15.6" x14ac:dyDescent="0.3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2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</row>
    <row r="156" spans="1:47" ht="15.6" x14ac:dyDescent="0.3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2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</row>
    <row r="157" spans="1:47" ht="15.6" x14ac:dyDescent="0.3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2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</row>
    <row r="158" spans="1:47" ht="15.6" x14ac:dyDescent="0.3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2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</row>
    <row r="159" spans="1:47" ht="15.6" x14ac:dyDescent="0.3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30"/>
      <c r="AA159" s="30"/>
      <c r="AB159" s="30"/>
      <c r="AC159" s="30"/>
      <c r="AD159" s="30"/>
      <c r="AE159" s="30"/>
      <c r="AF159" s="30"/>
      <c r="AG159" s="32"/>
      <c r="AH159" s="30"/>
      <c r="AI159" s="30"/>
      <c r="AJ159" s="30"/>
      <c r="AK159" s="30"/>
      <c r="AL159" s="30"/>
      <c r="AM159" s="30"/>
      <c r="AN159" s="30"/>
      <c r="AO159" s="30"/>
      <c r="AP159" s="30"/>
      <c r="AQ159" s="30"/>
      <c r="AR159" s="30"/>
      <c r="AS159" s="30"/>
      <c r="AT159" s="30"/>
      <c r="AU159" s="30"/>
    </row>
    <row r="160" spans="1:47" ht="15.6" x14ac:dyDescent="0.3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30"/>
      <c r="AA160" s="30"/>
      <c r="AB160" s="30"/>
      <c r="AC160" s="30"/>
      <c r="AD160" s="30"/>
      <c r="AE160" s="30"/>
      <c r="AF160" s="30"/>
      <c r="AG160" s="32"/>
      <c r="AH160" s="30"/>
      <c r="AI160" s="30"/>
      <c r="AJ160" s="30"/>
      <c r="AK160" s="30"/>
      <c r="AL160" s="30"/>
      <c r="AM160" s="30"/>
      <c r="AN160" s="30"/>
      <c r="AO160" s="30"/>
      <c r="AP160" s="30"/>
      <c r="AQ160" s="30"/>
      <c r="AR160" s="30"/>
      <c r="AS160" s="30"/>
      <c r="AT160" s="30"/>
      <c r="AU160" s="30"/>
    </row>
    <row r="161" spans="1:47" ht="15.6" x14ac:dyDescent="0.3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30"/>
      <c r="AA161" s="30"/>
      <c r="AB161" s="30"/>
      <c r="AC161" s="30"/>
      <c r="AD161" s="30"/>
      <c r="AE161" s="30"/>
      <c r="AF161" s="30"/>
      <c r="AG161" s="32"/>
      <c r="AH161" s="30"/>
      <c r="AI161" s="30"/>
      <c r="AJ161" s="30"/>
      <c r="AK161" s="30"/>
      <c r="AL161" s="30"/>
      <c r="AM161" s="30"/>
      <c r="AN161" s="30"/>
      <c r="AO161" s="30"/>
      <c r="AP161" s="30"/>
      <c r="AQ161" s="30"/>
      <c r="AR161" s="30"/>
      <c r="AS161" s="30"/>
      <c r="AT161" s="30"/>
      <c r="AU161" s="30"/>
    </row>
    <row r="162" spans="1:47" ht="15.6" x14ac:dyDescent="0.3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2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</row>
    <row r="163" spans="1:47" ht="15.6" x14ac:dyDescent="0.3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30"/>
      <c r="AA163" s="30"/>
      <c r="AB163" s="30"/>
      <c r="AC163" s="30"/>
      <c r="AD163" s="30"/>
      <c r="AE163" s="30"/>
      <c r="AF163" s="30"/>
      <c r="AG163" s="32"/>
      <c r="AH163" s="30"/>
      <c r="AI163" s="30"/>
      <c r="AJ163" s="30"/>
      <c r="AK163" s="30"/>
      <c r="AL163" s="30"/>
      <c r="AM163" s="30"/>
      <c r="AN163" s="30"/>
      <c r="AO163" s="30"/>
      <c r="AP163" s="30"/>
      <c r="AQ163" s="30"/>
      <c r="AR163" s="30"/>
      <c r="AS163" s="30"/>
      <c r="AT163" s="30"/>
      <c r="AU163" s="30"/>
    </row>
    <row r="164" spans="1:47" ht="15.6" x14ac:dyDescent="0.3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30"/>
      <c r="AA164" s="30"/>
      <c r="AB164" s="30"/>
      <c r="AC164" s="30"/>
      <c r="AD164" s="30"/>
      <c r="AE164" s="30"/>
      <c r="AF164" s="30"/>
      <c r="AG164" s="32"/>
      <c r="AH164" s="30"/>
      <c r="AI164" s="30"/>
      <c r="AJ164" s="30"/>
      <c r="AK164" s="30"/>
      <c r="AL164" s="30"/>
      <c r="AM164" s="30"/>
      <c r="AN164" s="30"/>
      <c r="AO164" s="30"/>
      <c r="AP164" s="30"/>
      <c r="AQ164" s="30"/>
      <c r="AR164" s="30"/>
      <c r="AS164" s="30"/>
      <c r="AT164" s="30"/>
      <c r="AU164" s="30"/>
    </row>
    <row r="165" spans="1:47" ht="15.6" x14ac:dyDescent="0.3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2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</row>
    <row r="166" spans="1:47" ht="15.6" x14ac:dyDescent="0.3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30"/>
      <c r="AA166" s="30"/>
      <c r="AB166" s="30"/>
      <c r="AC166" s="30"/>
      <c r="AD166" s="30"/>
      <c r="AE166" s="30"/>
      <c r="AF166" s="30"/>
      <c r="AG166" s="32"/>
      <c r="AH166" s="30"/>
      <c r="AI166" s="30"/>
      <c r="AJ166" s="30"/>
      <c r="AK166" s="30"/>
      <c r="AL166" s="30"/>
      <c r="AM166" s="30"/>
      <c r="AN166" s="30"/>
      <c r="AO166" s="30"/>
      <c r="AP166" s="30"/>
      <c r="AQ166" s="30"/>
      <c r="AR166" s="30"/>
      <c r="AS166" s="30"/>
      <c r="AT166" s="30"/>
      <c r="AU166" s="30"/>
    </row>
    <row r="167" spans="1:47" ht="15.6" x14ac:dyDescent="0.3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2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</row>
    <row r="168" spans="1:47" ht="15.6" x14ac:dyDescent="0.3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30"/>
      <c r="AA168" s="30"/>
      <c r="AB168" s="30"/>
      <c r="AC168" s="30"/>
      <c r="AD168" s="30"/>
      <c r="AE168" s="30"/>
      <c r="AF168" s="30"/>
      <c r="AG168" s="32"/>
      <c r="AH168" s="30"/>
      <c r="AI168" s="30"/>
      <c r="AJ168" s="30"/>
      <c r="AK168" s="30"/>
      <c r="AL168" s="30"/>
      <c r="AM168" s="30"/>
      <c r="AN168" s="30"/>
      <c r="AO168" s="30"/>
      <c r="AP168" s="30"/>
      <c r="AQ168" s="30"/>
      <c r="AR168" s="30"/>
      <c r="AS168" s="30"/>
      <c r="AT168" s="30"/>
      <c r="AU168" s="30"/>
    </row>
    <row r="169" spans="1:47" ht="15.6" x14ac:dyDescent="0.3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30"/>
      <c r="AA169" s="30"/>
      <c r="AB169" s="30"/>
      <c r="AC169" s="30"/>
      <c r="AD169" s="30"/>
      <c r="AE169" s="30"/>
      <c r="AF169" s="30"/>
      <c r="AG169" s="32"/>
      <c r="AH169" s="30"/>
      <c r="AI169" s="30"/>
      <c r="AJ169" s="30"/>
      <c r="AK169" s="30"/>
      <c r="AL169" s="30"/>
      <c r="AM169" s="30"/>
      <c r="AN169" s="30"/>
      <c r="AO169" s="30"/>
      <c r="AP169" s="30"/>
      <c r="AQ169" s="30"/>
      <c r="AR169" s="30"/>
      <c r="AS169" s="30"/>
      <c r="AT169" s="30"/>
      <c r="AU169" s="30"/>
    </row>
    <row r="170" spans="1:47" ht="15.6" x14ac:dyDescent="0.3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2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</row>
    <row r="171" spans="1:47" ht="15.6" x14ac:dyDescent="0.3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30"/>
      <c r="AA171" s="30"/>
      <c r="AB171" s="30"/>
      <c r="AC171" s="30"/>
      <c r="AD171" s="30"/>
      <c r="AE171" s="30"/>
      <c r="AF171" s="30"/>
      <c r="AG171" s="32"/>
      <c r="AH171" s="30"/>
      <c r="AI171" s="30"/>
      <c r="AJ171" s="30"/>
      <c r="AK171" s="30"/>
      <c r="AL171" s="30"/>
      <c r="AM171" s="30"/>
      <c r="AN171" s="30"/>
      <c r="AO171" s="30"/>
      <c r="AP171" s="30"/>
      <c r="AQ171" s="30"/>
      <c r="AR171" s="30"/>
      <c r="AS171" s="30"/>
      <c r="AT171" s="30"/>
      <c r="AU171" s="30"/>
    </row>
    <row r="172" spans="1:47" ht="15.6" x14ac:dyDescent="0.3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30"/>
      <c r="AA172" s="30"/>
      <c r="AB172" s="30"/>
      <c r="AC172" s="30"/>
      <c r="AD172" s="30"/>
      <c r="AE172" s="30"/>
      <c r="AF172" s="30"/>
      <c r="AG172" s="32"/>
      <c r="AH172" s="30"/>
      <c r="AI172" s="30"/>
      <c r="AJ172" s="30"/>
      <c r="AK172" s="30"/>
      <c r="AL172" s="30"/>
      <c r="AM172" s="30"/>
      <c r="AN172" s="30"/>
      <c r="AO172" s="30"/>
      <c r="AP172" s="30"/>
      <c r="AQ172" s="30"/>
      <c r="AR172" s="30"/>
      <c r="AS172" s="30"/>
      <c r="AT172" s="30"/>
      <c r="AU172" s="30"/>
    </row>
    <row r="173" spans="1:47" ht="15.6" x14ac:dyDescent="0.3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30"/>
      <c r="AA173" s="30"/>
      <c r="AB173" s="30"/>
      <c r="AC173" s="30"/>
      <c r="AD173" s="30"/>
      <c r="AE173" s="30"/>
      <c r="AF173" s="30"/>
      <c r="AG173" s="32"/>
      <c r="AH173" s="30"/>
      <c r="AI173" s="30"/>
      <c r="AJ173" s="30"/>
      <c r="AK173" s="30"/>
      <c r="AL173" s="30"/>
      <c r="AM173" s="30"/>
      <c r="AN173" s="30"/>
      <c r="AO173" s="30"/>
      <c r="AP173" s="30"/>
      <c r="AQ173" s="30"/>
      <c r="AR173" s="30"/>
      <c r="AS173" s="30"/>
      <c r="AT173" s="30"/>
      <c r="AU173" s="30"/>
    </row>
    <row r="174" spans="1:47" ht="15.6" x14ac:dyDescent="0.3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2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</row>
    <row r="175" spans="1:47" ht="15.6" x14ac:dyDescent="0.3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2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</row>
    <row r="176" spans="1:47" ht="15.6" x14ac:dyDescent="0.3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2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</row>
    <row r="177" spans="1:47" ht="15.6" x14ac:dyDescent="0.3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2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</row>
    <row r="178" spans="1:47" ht="15.6" x14ac:dyDescent="0.3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2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</row>
    <row r="179" spans="1:47" ht="15.6" x14ac:dyDescent="0.3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30"/>
      <c r="AA179" s="30"/>
      <c r="AB179" s="30"/>
      <c r="AC179" s="30"/>
      <c r="AD179" s="30"/>
      <c r="AE179" s="30"/>
      <c r="AF179" s="30"/>
      <c r="AG179" s="32"/>
      <c r="AH179" s="30"/>
      <c r="AI179" s="30"/>
      <c r="AJ179" s="30"/>
      <c r="AK179" s="30"/>
      <c r="AL179" s="30"/>
      <c r="AM179" s="30"/>
      <c r="AN179" s="30"/>
      <c r="AO179" s="30"/>
      <c r="AP179" s="30"/>
      <c r="AQ179" s="30"/>
      <c r="AR179" s="30"/>
      <c r="AS179" s="30"/>
      <c r="AT179" s="30"/>
      <c r="AU179" s="30"/>
    </row>
    <row r="180" spans="1:47" ht="15.6" x14ac:dyDescent="0.3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30"/>
      <c r="AA180" s="30"/>
      <c r="AB180" s="30"/>
      <c r="AC180" s="30"/>
      <c r="AD180" s="30"/>
      <c r="AE180" s="30"/>
      <c r="AF180" s="30"/>
      <c r="AG180" s="32"/>
      <c r="AH180" s="30"/>
      <c r="AI180" s="30"/>
      <c r="AJ180" s="30"/>
      <c r="AK180" s="30"/>
      <c r="AL180" s="30"/>
      <c r="AM180" s="30"/>
      <c r="AN180" s="30"/>
      <c r="AO180" s="30"/>
      <c r="AP180" s="30"/>
      <c r="AQ180" s="30"/>
      <c r="AR180" s="30"/>
      <c r="AS180" s="30"/>
      <c r="AT180" s="30"/>
      <c r="AU180" s="30"/>
    </row>
    <row r="181" spans="1:47" ht="15.6" x14ac:dyDescent="0.3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30"/>
      <c r="AA181" s="30"/>
      <c r="AB181" s="30"/>
      <c r="AC181" s="30"/>
      <c r="AD181" s="30"/>
      <c r="AE181" s="30"/>
      <c r="AF181" s="30"/>
      <c r="AG181" s="32"/>
      <c r="AH181" s="30"/>
      <c r="AI181" s="30"/>
      <c r="AJ181" s="30"/>
      <c r="AK181" s="30"/>
      <c r="AL181" s="30"/>
      <c r="AM181" s="30"/>
      <c r="AN181" s="30"/>
      <c r="AO181" s="30"/>
      <c r="AP181" s="30"/>
      <c r="AQ181" s="30"/>
      <c r="AR181" s="30"/>
      <c r="AS181" s="30"/>
      <c r="AT181" s="30"/>
      <c r="AU181" s="30"/>
    </row>
    <row r="182" spans="1:47" ht="15.6" x14ac:dyDescent="0.3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30"/>
      <c r="AA182" s="30"/>
      <c r="AB182" s="30"/>
      <c r="AC182" s="30"/>
      <c r="AD182" s="30"/>
      <c r="AE182" s="30"/>
      <c r="AF182" s="30"/>
      <c r="AG182" s="32"/>
      <c r="AH182" s="30"/>
      <c r="AI182" s="30"/>
      <c r="AJ182" s="30"/>
      <c r="AK182" s="30"/>
      <c r="AL182" s="30"/>
      <c r="AM182" s="30"/>
      <c r="AN182" s="30"/>
      <c r="AO182" s="30"/>
      <c r="AP182" s="30"/>
      <c r="AQ182" s="30"/>
      <c r="AR182" s="30"/>
      <c r="AS182" s="30"/>
      <c r="AT182" s="30"/>
      <c r="AU182" s="30"/>
    </row>
    <row r="183" spans="1:47" ht="15.6" x14ac:dyDescent="0.3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30"/>
      <c r="AA183" s="30"/>
      <c r="AB183" s="30"/>
      <c r="AC183" s="30"/>
      <c r="AD183" s="30"/>
      <c r="AE183" s="30"/>
      <c r="AF183" s="30"/>
      <c r="AG183" s="32"/>
      <c r="AH183" s="30"/>
      <c r="AI183" s="30"/>
      <c r="AJ183" s="30"/>
      <c r="AK183" s="30"/>
      <c r="AL183" s="30"/>
      <c r="AM183" s="30"/>
      <c r="AN183" s="30"/>
      <c r="AO183" s="30"/>
      <c r="AP183" s="30"/>
      <c r="AQ183" s="30"/>
      <c r="AR183" s="30"/>
      <c r="AS183" s="30"/>
      <c r="AT183" s="30"/>
      <c r="AU183" s="30"/>
    </row>
    <row r="184" spans="1:47" ht="15.6" x14ac:dyDescent="0.3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30"/>
      <c r="AA184" s="30"/>
      <c r="AB184" s="30"/>
      <c r="AC184" s="30"/>
      <c r="AD184" s="30"/>
      <c r="AE184" s="30"/>
      <c r="AF184" s="30"/>
      <c r="AG184" s="32"/>
      <c r="AH184" s="30"/>
      <c r="AI184" s="30"/>
      <c r="AJ184" s="30"/>
      <c r="AK184" s="30"/>
      <c r="AL184" s="30"/>
      <c r="AM184" s="30"/>
      <c r="AN184" s="30"/>
      <c r="AO184" s="30"/>
      <c r="AP184" s="30"/>
      <c r="AQ184" s="30"/>
      <c r="AR184" s="30"/>
      <c r="AS184" s="30"/>
      <c r="AT184" s="30"/>
      <c r="AU184" s="30"/>
    </row>
    <row r="185" spans="1:47" ht="15.6" x14ac:dyDescent="0.3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30"/>
      <c r="AA185" s="30"/>
      <c r="AB185" s="30"/>
      <c r="AC185" s="30"/>
      <c r="AD185" s="30"/>
      <c r="AE185" s="30"/>
      <c r="AF185" s="30"/>
      <c r="AG185" s="32"/>
      <c r="AH185" s="30"/>
      <c r="AI185" s="30"/>
      <c r="AJ185" s="30"/>
      <c r="AK185" s="30"/>
      <c r="AL185" s="30"/>
      <c r="AM185" s="30"/>
      <c r="AN185" s="30"/>
      <c r="AO185" s="30"/>
      <c r="AP185" s="30"/>
      <c r="AQ185" s="30"/>
      <c r="AR185" s="30"/>
      <c r="AS185" s="30"/>
      <c r="AT185" s="30"/>
      <c r="AU185" s="30"/>
    </row>
    <row r="186" spans="1:47" ht="15.6" x14ac:dyDescent="0.3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30"/>
      <c r="AA186" s="30"/>
      <c r="AB186" s="30"/>
      <c r="AC186" s="30"/>
      <c r="AD186" s="30"/>
      <c r="AE186" s="30"/>
      <c r="AF186" s="30"/>
      <c r="AG186" s="32"/>
      <c r="AH186" s="30"/>
      <c r="AI186" s="30"/>
      <c r="AJ186" s="30"/>
      <c r="AK186" s="30"/>
      <c r="AL186" s="30"/>
      <c r="AM186" s="30"/>
      <c r="AN186" s="30"/>
      <c r="AO186" s="30"/>
      <c r="AP186" s="30"/>
      <c r="AQ186" s="30"/>
      <c r="AR186" s="30"/>
      <c r="AS186" s="30"/>
      <c r="AT186" s="30"/>
      <c r="AU186" s="30"/>
    </row>
    <row r="187" spans="1:47" ht="15.6" x14ac:dyDescent="0.3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30"/>
      <c r="AA187" s="30"/>
      <c r="AB187" s="30"/>
      <c r="AC187" s="30"/>
      <c r="AD187" s="30"/>
      <c r="AE187" s="30"/>
      <c r="AF187" s="30"/>
      <c r="AG187" s="32"/>
      <c r="AH187" s="30"/>
      <c r="AI187" s="30"/>
      <c r="AJ187" s="30"/>
      <c r="AK187" s="30"/>
      <c r="AL187" s="30"/>
      <c r="AM187" s="30"/>
      <c r="AN187" s="30"/>
      <c r="AO187" s="30"/>
      <c r="AP187" s="30"/>
      <c r="AQ187" s="30"/>
      <c r="AR187" s="30"/>
      <c r="AS187" s="30"/>
      <c r="AT187" s="30"/>
      <c r="AU187" s="30"/>
    </row>
    <row r="188" spans="1:47" ht="15.6" x14ac:dyDescent="0.3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30"/>
      <c r="AA188" s="30"/>
      <c r="AB188" s="30"/>
      <c r="AC188" s="30"/>
      <c r="AD188" s="30"/>
      <c r="AE188" s="30"/>
      <c r="AF188" s="30"/>
      <c r="AG188" s="32"/>
      <c r="AH188" s="30"/>
      <c r="AI188" s="30"/>
      <c r="AJ188" s="30"/>
      <c r="AK188" s="30"/>
      <c r="AL188" s="30"/>
      <c r="AM188" s="30"/>
      <c r="AN188" s="30"/>
      <c r="AO188" s="30"/>
      <c r="AP188" s="30"/>
      <c r="AQ188" s="30"/>
      <c r="AR188" s="30"/>
      <c r="AS188" s="30"/>
      <c r="AT188" s="30"/>
      <c r="AU188" s="30"/>
    </row>
    <row r="189" spans="1:47" ht="15.6" x14ac:dyDescent="0.3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30"/>
      <c r="AA189" s="30"/>
      <c r="AB189" s="30"/>
      <c r="AC189" s="30"/>
      <c r="AD189" s="30"/>
      <c r="AE189" s="30"/>
      <c r="AF189" s="30"/>
      <c r="AG189" s="32"/>
      <c r="AH189" s="30"/>
      <c r="AI189" s="30"/>
      <c r="AJ189" s="30"/>
      <c r="AK189" s="30"/>
      <c r="AL189" s="30"/>
      <c r="AM189" s="30"/>
      <c r="AN189" s="30"/>
      <c r="AO189" s="30"/>
      <c r="AP189" s="30"/>
      <c r="AQ189" s="30"/>
      <c r="AR189" s="30"/>
      <c r="AS189" s="30"/>
      <c r="AT189" s="30"/>
      <c r="AU189" s="30"/>
    </row>
    <row r="190" spans="1:47" ht="15.6" x14ac:dyDescent="0.3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30"/>
      <c r="AA190" s="30"/>
      <c r="AB190" s="30"/>
      <c r="AC190" s="30"/>
      <c r="AD190" s="30"/>
      <c r="AE190" s="30"/>
      <c r="AF190" s="30"/>
      <c r="AG190" s="32"/>
      <c r="AH190" s="30"/>
      <c r="AI190" s="30"/>
      <c r="AJ190" s="30"/>
      <c r="AK190" s="30"/>
      <c r="AL190" s="30"/>
      <c r="AM190" s="30"/>
      <c r="AN190" s="30"/>
      <c r="AO190" s="30"/>
      <c r="AP190" s="30"/>
      <c r="AQ190" s="30"/>
      <c r="AR190" s="30"/>
      <c r="AS190" s="30"/>
      <c r="AT190" s="30"/>
      <c r="AU190" s="30"/>
    </row>
    <row r="191" spans="1:47" ht="15.6" x14ac:dyDescent="0.3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30"/>
      <c r="AA191" s="30"/>
      <c r="AB191" s="30"/>
      <c r="AC191" s="30"/>
      <c r="AD191" s="30"/>
      <c r="AE191" s="30"/>
      <c r="AF191" s="30"/>
      <c r="AG191" s="32"/>
      <c r="AH191" s="30"/>
      <c r="AI191" s="30"/>
      <c r="AJ191" s="30"/>
      <c r="AK191" s="30"/>
      <c r="AL191" s="30"/>
      <c r="AM191" s="30"/>
      <c r="AN191" s="30"/>
      <c r="AO191" s="30"/>
      <c r="AP191" s="30"/>
      <c r="AQ191" s="30"/>
      <c r="AR191" s="30"/>
      <c r="AS191" s="30"/>
      <c r="AT191" s="30"/>
      <c r="AU191" s="30"/>
    </row>
    <row r="192" spans="1:47" ht="15.6" x14ac:dyDescent="0.3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30"/>
      <c r="AA192" s="30"/>
      <c r="AB192" s="30"/>
      <c r="AC192" s="30"/>
      <c r="AD192" s="30"/>
      <c r="AE192" s="30"/>
      <c r="AF192" s="30"/>
      <c r="AG192" s="32"/>
      <c r="AH192" s="30"/>
      <c r="AI192" s="30"/>
      <c r="AJ192" s="30"/>
      <c r="AK192" s="30"/>
      <c r="AL192" s="30"/>
      <c r="AM192" s="30"/>
      <c r="AN192" s="30"/>
      <c r="AO192" s="30"/>
      <c r="AP192" s="30"/>
      <c r="AQ192" s="30"/>
      <c r="AR192" s="30"/>
      <c r="AS192" s="30"/>
      <c r="AT192" s="30"/>
      <c r="AU192" s="30"/>
    </row>
    <row r="193" spans="1:47" ht="15.6" x14ac:dyDescent="0.3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30"/>
      <c r="AA193" s="30"/>
      <c r="AB193" s="30"/>
      <c r="AC193" s="30"/>
      <c r="AD193" s="30"/>
      <c r="AE193" s="30"/>
      <c r="AF193" s="30"/>
      <c r="AG193" s="32"/>
      <c r="AH193" s="30"/>
      <c r="AI193" s="30"/>
      <c r="AJ193" s="30"/>
      <c r="AK193" s="30"/>
      <c r="AL193" s="30"/>
      <c r="AM193" s="30"/>
      <c r="AN193" s="30"/>
      <c r="AO193" s="30"/>
      <c r="AP193" s="30"/>
      <c r="AQ193" s="30"/>
      <c r="AR193" s="30"/>
      <c r="AS193" s="30"/>
      <c r="AT193" s="30"/>
      <c r="AU193" s="30"/>
    </row>
    <row r="194" spans="1:47" ht="15.6" x14ac:dyDescent="0.3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30"/>
      <c r="AA194" s="30"/>
      <c r="AB194" s="30"/>
      <c r="AC194" s="30"/>
      <c r="AD194" s="30"/>
      <c r="AE194" s="30"/>
      <c r="AF194" s="30"/>
      <c r="AG194" s="32"/>
      <c r="AH194" s="30"/>
      <c r="AI194" s="30"/>
      <c r="AJ194" s="30"/>
      <c r="AK194" s="30"/>
      <c r="AL194" s="30"/>
      <c r="AM194" s="30"/>
      <c r="AN194" s="30"/>
      <c r="AO194" s="30"/>
      <c r="AP194" s="30"/>
      <c r="AQ194" s="30"/>
      <c r="AR194" s="30"/>
      <c r="AS194" s="30"/>
      <c r="AT194" s="30"/>
      <c r="AU194" s="30"/>
    </row>
    <row r="195" spans="1:47" ht="15.6" x14ac:dyDescent="0.3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30"/>
      <c r="AA195" s="30"/>
      <c r="AB195" s="30"/>
      <c r="AC195" s="30"/>
      <c r="AD195" s="30"/>
      <c r="AE195" s="30"/>
      <c r="AF195" s="30"/>
      <c r="AG195" s="32"/>
      <c r="AH195" s="30"/>
      <c r="AI195" s="30"/>
      <c r="AJ195" s="30"/>
      <c r="AK195" s="30"/>
      <c r="AL195" s="30"/>
      <c r="AM195" s="30"/>
      <c r="AN195" s="30"/>
      <c r="AO195" s="30"/>
      <c r="AP195" s="30"/>
      <c r="AQ195" s="30"/>
      <c r="AR195" s="30"/>
      <c r="AS195" s="30"/>
      <c r="AT195" s="30"/>
      <c r="AU195" s="30"/>
    </row>
    <row r="196" spans="1:47" ht="15.6" x14ac:dyDescent="0.3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30"/>
      <c r="AA196" s="30"/>
      <c r="AB196" s="30"/>
      <c r="AC196" s="30"/>
      <c r="AD196" s="30"/>
      <c r="AE196" s="30"/>
      <c r="AF196" s="30"/>
      <c r="AG196" s="32"/>
      <c r="AH196" s="30"/>
      <c r="AI196" s="30"/>
      <c r="AJ196" s="30"/>
      <c r="AK196" s="30"/>
      <c r="AL196" s="30"/>
      <c r="AM196" s="30"/>
      <c r="AN196" s="30"/>
      <c r="AO196" s="30"/>
      <c r="AP196" s="30"/>
      <c r="AQ196" s="30"/>
      <c r="AR196" s="30"/>
      <c r="AS196" s="30"/>
      <c r="AT196" s="30"/>
      <c r="AU196" s="30"/>
    </row>
    <row r="197" spans="1:47" ht="15.6" x14ac:dyDescent="0.3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30"/>
      <c r="AA197" s="30"/>
      <c r="AB197" s="30"/>
      <c r="AC197" s="30"/>
      <c r="AD197" s="30"/>
      <c r="AE197" s="30"/>
      <c r="AF197" s="30"/>
      <c r="AG197" s="32"/>
      <c r="AH197" s="30"/>
      <c r="AI197" s="30"/>
      <c r="AJ197" s="30"/>
      <c r="AK197" s="30"/>
      <c r="AL197" s="30"/>
      <c r="AM197" s="30"/>
      <c r="AN197" s="30"/>
      <c r="AO197" s="30"/>
      <c r="AP197" s="30"/>
      <c r="AQ197" s="30"/>
      <c r="AR197" s="30"/>
      <c r="AS197" s="30"/>
      <c r="AT197" s="30"/>
      <c r="AU197" s="30"/>
    </row>
    <row r="198" spans="1:47" ht="15.6" x14ac:dyDescent="0.3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30"/>
      <c r="AA198" s="30"/>
      <c r="AB198" s="30"/>
      <c r="AC198" s="30"/>
      <c r="AD198" s="30"/>
      <c r="AE198" s="30"/>
      <c r="AF198" s="30"/>
      <c r="AG198" s="32"/>
      <c r="AH198" s="30"/>
      <c r="AI198" s="30"/>
      <c r="AJ198" s="30"/>
      <c r="AK198" s="30"/>
      <c r="AL198" s="30"/>
      <c r="AM198" s="30"/>
      <c r="AN198" s="30"/>
      <c r="AO198" s="30"/>
      <c r="AP198" s="30"/>
      <c r="AQ198" s="30"/>
      <c r="AR198" s="30"/>
      <c r="AS198" s="30"/>
      <c r="AT198" s="30"/>
      <c r="AU198" s="30"/>
    </row>
    <row r="199" spans="1:47" ht="15.6" x14ac:dyDescent="0.3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30"/>
      <c r="AA199" s="30"/>
      <c r="AB199" s="30"/>
      <c r="AC199" s="30"/>
      <c r="AD199" s="30"/>
      <c r="AE199" s="30"/>
      <c r="AF199" s="30"/>
      <c r="AG199" s="32"/>
      <c r="AH199" s="30"/>
      <c r="AI199" s="30"/>
      <c r="AJ199" s="30"/>
      <c r="AK199" s="30"/>
      <c r="AL199" s="30"/>
      <c r="AM199" s="30"/>
      <c r="AN199" s="30"/>
      <c r="AO199" s="30"/>
      <c r="AP199" s="30"/>
      <c r="AQ199" s="30"/>
      <c r="AR199" s="30"/>
      <c r="AS199" s="30"/>
      <c r="AT199" s="30"/>
      <c r="AU199" s="30"/>
    </row>
    <row r="200" spans="1:47" ht="15.6" x14ac:dyDescent="0.3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30"/>
      <c r="AA200" s="30"/>
      <c r="AB200" s="30"/>
      <c r="AC200" s="30"/>
      <c r="AD200" s="30"/>
      <c r="AE200" s="30"/>
      <c r="AF200" s="30"/>
      <c r="AG200" s="32"/>
      <c r="AH200" s="30"/>
      <c r="AI200" s="30"/>
      <c r="AJ200" s="30"/>
      <c r="AK200" s="30"/>
      <c r="AL200" s="30"/>
      <c r="AM200" s="30"/>
      <c r="AN200" s="30"/>
      <c r="AO200" s="30"/>
      <c r="AP200" s="30"/>
      <c r="AQ200" s="30"/>
      <c r="AR200" s="30"/>
      <c r="AS200" s="30"/>
      <c r="AT200" s="30"/>
      <c r="AU200" s="30"/>
    </row>
    <row r="201" spans="1:47" ht="15.6" x14ac:dyDescent="0.3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30"/>
      <c r="AA201" s="30"/>
      <c r="AB201" s="30"/>
      <c r="AC201" s="30"/>
      <c r="AD201" s="30"/>
      <c r="AE201" s="30"/>
      <c r="AF201" s="30"/>
      <c r="AG201" s="32"/>
      <c r="AH201" s="30"/>
      <c r="AI201" s="30"/>
      <c r="AJ201" s="30"/>
      <c r="AK201" s="30"/>
      <c r="AL201" s="30"/>
      <c r="AM201" s="30"/>
      <c r="AN201" s="30"/>
      <c r="AO201" s="30"/>
      <c r="AP201" s="30"/>
      <c r="AQ201" s="30"/>
      <c r="AR201" s="30"/>
      <c r="AS201" s="30"/>
      <c r="AT201" s="30"/>
      <c r="AU201" s="30"/>
    </row>
    <row r="202" spans="1:47" ht="15.6" x14ac:dyDescent="0.3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30"/>
      <c r="AA202" s="30"/>
      <c r="AB202" s="30"/>
      <c r="AC202" s="30"/>
      <c r="AD202" s="30"/>
      <c r="AE202" s="30"/>
      <c r="AF202" s="30"/>
      <c r="AG202" s="32"/>
      <c r="AH202" s="30"/>
      <c r="AI202" s="30"/>
      <c r="AJ202" s="30"/>
      <c r="AK202" s="30"/>
      <c r="AL202" s="30"/>
      <c r="AM202" s="30"/>
      <c r="AN202" s="30"/>
      <c r="AO202" s="30"/>
      <c r="AP202" s="30"/>
      <c r="AQ202" s="30"/>
      <c r="AR202" s="30"/>
      <c r="AS202" s="30"/>
      <c r="AT202" s="30"/>
      <c r="AU202" s="30"/>
    </row>
    <row r="203" spans="1:47" ht="15.6" x14ac:dyDescent="0.3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30"/>
      <c r="AA203" s="30"/>
      <c r="AB203" s="30"/>
      <c r="AC203" s="30"/>
      <c r="AD203" s="30"/>
      <c r="AE203" s="30"/>
      <c r="AF203" s="30"/>
      <c r="AG203" s="32"/>
      <c r="AH203" s="30"/>
      <c r="AI203" s="30"/>
      <c r="AJ203" s="30"/>
      <c r="AK203" s="30"/>
      <c r="AL203" s="30"/>
      <c r="AM203" s="30"/>
      <c r="AN203" s="30"/>
      <c r="AO203" s="30"/>
      <c r="AP203" s="30"/>
      <c r="AQ203" s="30"/>
      <c r="AR203" s="30"/>
      <c r="AS203" s="30"/>
      <c r="AT203" s="30"/>
      <c r="AU203" s="30"/>
    </row>
    <row r="204" spans="1:47" ht="15.6" x14ac:dyDescent="0.3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30"/>
      <c r="AA204" s="30"/>
      <c r="AB204" s="30"/>
      <c r="AC204" s="30"/>
      <c r="AD204" s="30"/>
      <c r="AE204" s="30"/>
      <c r="AF204" s="30"/>
      <c r="AG204" s="32"/>
      <c r="AH204" s="30"/>
      <c r="AI204" s="30"/>
      <c r="AJ204" s="30"/>
      <c r="AK204" s="30"/>
      <c r="AL204" s="30"/>
      <c r="AM204" s="30"/>
      <c r="AN204" s="30"/>
      <c r="AO204" s="30"/>
      <c r="AP204" s="30"/>
      <c r="AQ204" s="30"/>
      <c r="AR204" s="30"/>
      <c r="AS204" s="30"/>
      <c r="AT204" s="30"/>
      <c r="AU204" s="30"/>
    </row>
    <row r="205" spans="1:47" ht="15.6" x14ac:dyDescent="0.3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30"/>
      <c r="AA205" s="30"/>
      <c r="AB205" s="30"/>
      <c r="AC205" s="30"/>
      <c r="AD205" s="30"/>
      <c r="AE205" s="30"/>
      <c r="AF205" s="30"/>
      <c r="AG205" s="32"/>
      <c r="AH205" s="30"/>
      <c r="AI205" s="30"/>
      <c r="AJ205" s="30"/>
      <c r="AK205" s="30"/>
      <c r="AL205" s="30"/>
      <c r="AM205" s="30"/>
      <c r="AN205" s="30"/>
      <c r="AO205" s="30"/>
      <c r="AP205" s="30"/>
      <c r="AQ205" s="30"/>
      <c r="AR205" s="30"/>
      <c r="AS205" s="30"/>
      <c r="AT205" s="30"/>
      <c r="AU205" s="30"/>
    </row>
    <row r="206" spans="1:47" ht="15.6" x14ac:dyDescent="0.3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30"/>
      <c r="AA206" s="30"/>
      <c r="AB206" s="30"/>
      <c r="AC206" s="30"/>
      <c r="AD206" s="30"/>
      <c r="AE206" s="30"/>
      <c r="AF206" s="30"/>
      <c r="AG206" s="32"/>
      <c r="AH206" s="30"/>
      <c r="AI206" s="30"/>
      <c r="AJ206" s="30"/>
      <c r="AK206" s="30"/>
      <c r="AL206" s="30"/>
      <c r="AM206" s="30"/>
      <c r="AN206" s="30"/>
      <c r="AO206" s="30"/>
      <c r="AP206" s="30"/>
      <c r="AQ206" s="30"/>
      <c r="AR206" s="30"/>
      <c r="AS206" s="30"/>
      <c r="AT206" s="30"/>
      <c r="AU206" s="30"/>
    </row>
    <row r="207" spans="1:47" ht="15.6" x14ac:dyDescent="0.3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30"/>
      <c r="AA207" s="30"/>
      <c r="AB207" s="30"/>
      <c r="AC207" s="30"/>
      <c r="AD207" s="30"/>
      <c r="AE207" s="30"/>
      <c r="AF207" s="30"/>
      <c r="AG207" s="32"/>
      <c r="AH207" s="30"/>
      <c r="AI207" s="30"/>
      <c r="AJ207" s="30"/>
      <c r="AK207" s="30"/>
      <c r="AL207" s="30"/>
      <c r="AM207" s="30"/>
      <c r="AN207" s="30"/>
      <c r="AO207" s="30"/>
      <c r="AP207" s="30"/>
      <c r="AQ207" s="30"/>
      <c r="AR207" s="30"/>
      <c r="AS207" s="30"/>
      <c r="AT207" s="30"/>
      <c r="AU207" s="30"/>
    </row>
    <row r="208" spans="1:47" ht="15.6" x14ac:dyDescent="0.3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30"/>
      <c r="AA208" s="30"/>
      <c r="AB208" s="30"/>
      <c r="AC208" s="30"/>
      <c r="AD208" s="30"/>
      <c r="AE208" s="30"/>
      <c r="AF208" s="30"/>
      <c r="AG208" s="32"/>
      <c r="AH208" s="30"/>
      <c r="AI208" s="30"/>
      <c r="AJ208" s="30"/>
      <c r="AK208" s="30"/>
      <c r="AL208" s="30"/>
      <c r="AM208" s="30"/>
      <c r="AN208" s="30"/>
      <c r="AO208" s="30"/>
      <c r="AP208" s="30"/>
      <c r="AQ208" s="30"/>
      <c r="AR208" s="30"/>
      <c r="AS208" s="30"/>
      <c r="AT208" s="30"/>
      <c r="AU208" s="30"/>
    </row>
    <row r="209" spans="1:47" ht="15.6" x14ac:dyDescent="0.3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30"/>
      <c r="AA209" s="30"/>
      <c r="AB209" s="30"/>
      <c r="AC209" s="30"/>
      <c r="AD209" s="30"/>
      <c r="AE209" s="30"/>
      <c r="AF209" s="30"/>
      <c r="AG209" s="32"/>
      <c r="AH209" s="30"/>
      <c r="AI209" s="30"/>
      <c r="AJ209" s="30"/>
      <c r="AK209" s="30"/>
      <c r="AL209" s="30"/>
      <c r="AM209" s="30"/>
      <c r="AN209" s="30"/>
      <c r="AO209" s="30"/>
      <c r="AP209" s="30"/>
      <c r="AQ209" s="30"/>
      <c r="AR209" s="30"/>
      <c r="AS209" s="30"/>
      <c r="AT209" s="30"/>
      <c r="AU209" s="30"/>
    </row>
    <row r="210" spans="1:47" ht="15.6" x14ac:dyDescent="0.3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30"/>
      <c r="AA210" s="30"/>
      <c r="AB210" s="30"/>
      <c r="AC210" s="30"/>
      <c r="AD210" s="30"/>
      <c r="AE210" s="30"/>
      <c r="AF210" s="30"/>
      <c r="AG210" s="32"/>
      <c r="AH210" s="30"/>
      <c r="AI210" s="30"/>
      <c r="AJ210" s="30"/>
      <c r="AK210" s="30"/>
      <c r="AL210" s="30"/>
      <c r="AM210" s="30"/>
      <c r="AN210" s="30"/>
      <c r="AO210" s="30"/>
      <c r="AP210" s="30"/>
      <c r="AQ210" s="30"/>
      <c r="AR210" s="30"/>
      <c r="AS210" s="30"/>
      <c r="AT210" s="30"/>
      <c r="AU210" s="30"/>
    </row>
    <row r="211" spans="1:47" ht="15.6" x14ac:dyDescent="0.3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30"/>
      <c r="AA211" s="30"/>
      <c r="AB211" s="30"/>
      <c r="AC211" s="30"/>
      <c r="AD211" s="30"/>
      <c r="AE211" s="30"/>
      <c r="AF211" s="30"/>
      <c r="AG211" s="32"/>
      <c r="AH211" s="30"/>
      <c r="AI211" s="30"/>
      <c r="AJ211" s="30"/>
      <c r="AK211" s="30"/>
      <c r="AL211" s="30"/>
      <c r="AM211" s="30"/>
      <c r="AN211" s="30"/>
      <c r="AO211" s="30"/>
      <c r="AP211" s="30"/>
      <c r="AQ211" s="30"/>
      <c r="AR211" s="30"/>
      <c r="AS211" s="30"/>
      <c r="AT211" s="30"/>
      <c r="AU211" s="30"/>
    </row>
    <row r="212" spans="1:47" ht="15.6" x14ac:dyDescent="0.3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30"/>
      <c r="AA212" s="30"/>
      <c r="AB212" s="30"/>
      <c r="AC212" s="30"/>
      <c r="AD212" s="30"/>
      <c r="AE212" s="30"/>
      <c r="AF212" s="30"/>
      <c r="AG212" s="32"/>
      <c r="AH212" s="30"/>
      <c r="AI212" s="30"/>
      <c r="AJ212" s="30"/>
      <c r="AK212" s="30"/>
      <c r="AL212" s="30"/>
      <c r="AM212" s="30"/>
      <c r="AN212" s="30"/>
      <c r="AO212" s="30"/>
      <c r="AP212" s="30"/>
      <c r="AQ212" s="30"/>
      <c r="AR212" s="30"/>
      <c r="AS212" s="30"/>
      <c r="AT212" s="30"/>
      <c r="AU212" s="30"/>
    </row>
    <row r="213" spans="1:47" ht="15.6" x14ac:dyDescent="0.3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30"/>
      <c r="AA213" s="30"/>
      <c r="AB213" s="30"/>
      <c r="AC213" s="30"/>
      <c r="AD213" s="30"/>
      <c r="AE213" s="30"/>
      <c r="AF213" s="30"/>
      <c r="AG213" s="32"/>
      <c r="AH213" s="30"/>
      <c r="AI213" s="30"/>
      <c r="AJ213" s="30"/>
      <c r="AK213" s="30"/>
      <c r="AL213" s="30"/>
      <c r="AM213" s="30"/>
      <c r="AN213" s="30"/>
      <c r="AO213" s="30"/>
      <c r="AP213" s="30"/>
      <c r="AQ213" s="30"/>
      <c r="AR213" s="30"/>
      <c r="AS213" s="30"/>
      <c r="AT213" s="30"/>
      <c r="AU213" s="30"/>
    </row>
    <row r="214" spans="1:47" ht="15.6" x14ac:dyDescent="0.3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30"/>
      <c r="AA214" s="30"/>
      <c r="AB214" s="30"/>
      <c r="AC214" s="30"/>
      <c r="AD214" s="30"/>
      <c r="AE214" s="30"/>
      <c r="AF214" s="30"/>
      <c r="AG214" s="32"/>
      <c r="AH214" s="30"/>
      <c r="AI214" s="30"/>
      <c r="AJ214" s="30"/>
      <c r="AK214" s="30"/>
      <c r="AL214" s="30"/>
      <c r="AM214" s="30"/>
      <c r="AN214" s="30"/>
      <c r="AO214" s="30"/>
      <c r="AP214" s="30"/>
      <c r="AQ214" s="30"/>
      <c r="AR214" s="30"/>
      <c r="AS214" s="30"/>
      <c r="AT214" s="30"/>
      <c r="AU214" s="30"/>
    </row>
    <row r="215" spans="1:47" ht="15.6" x14ac:dyDescent="0.3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30"/>
      <c r="AA215" s="30"/>
      <c r="AB215" s="30"/>
      <c r="AC215" s="30"/>
      <c r="AD215" s="30"/>
      <c r="AE215" s="30"/>
      <c r="AF215" s="30"/>
      <c r="AG215" s="32"/>
      <c r="AH215" s="30"/>
      <c r="AI215" s="30"/>
      <c r="AJ215" s="30"/>
      <c r="AK215" s="30"/>
      <c r="AL215" s="30"/>
      <c r="AM215" s="30"/>
      <c r="AN215" s="30"/>
      <c r="AO215" s="30"/>
      <c r="AP215" s="30"/>
      <c r="AQ215" s="30"/>
      <c r="AR215" s="30"/>
      <c r="AS215" s="30"/>
      <c r="AT215" s="30"/>
      <c r="AU215" s="30"/>
    </row>
    <row r="216" spans="1:47" ht="15.6" x14ac:dyDescent="0.3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30"/>
      <c r="AA216" s="30"/>
      <c r="AB216" s="30"/>
      <c r="AC216" s="30"/>
      <c r="AD216" s="30"/>
      <c r="AE216" s="30"/>
      <c r="AF216" s="30"/>
      <c r="AG216" s="32"/>
      <c r="AH216" s="30"/>
      <c r="AI216" s="30"/>
      <c r="AJ216" s="30"/>
      <c r="AK216" s="30"/>
      <c r="AL216" s="30"/>
      <c r="AM216" s="30"/>
      <c r="AN216" s="30"/>
      <c r="AO216" s="30"/>
      <c r="AP216" s="30"/>
      <c r="AQ216" s="30"/>
      <c r="AR216" s="30"/>
      <c r="AS216" s="30"/>
      <c r="AT216" s="30"/>
      <c r="AU216" s="30"/>
    </row>
    <row r="217" spans="1:47" ht="15.6" x14ac:dyDescent="0.3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30"/>
      <c r="AA217" s="30"/>
      <c r="AB217" s="30"/>
      <c r="AC217" s="30"/>
      <c r="AD217" s="30"/>
      <c r="AE217" s="30"/>
      <c r="AF217" s="30"/>
      <c r="AG217" s="32"/>
      <c r="AH217" s="30"/>
      <c r="AI217" s="30"/>
      <c r="AJ217" s="30"/>
      <c r="AK217" s="30"/>
      <c r="AL217" s="30"/>
      <c r="AM217" s="30"/>
      <c r="AN217" s="30"/>
      <c r="AO217" s="30"/>
      <c r="AP217" s="30"/>
      <c r="AQ217" s="30"/>
      <c r="AR217" s="30"/>
      <c r="AS217" s="30"/>
      <c r="AT217" s="30"/>
      <c r="AU217" s="30"/>
    </row>
    <row r="218" spans="1:47" ht="15.6" x14ac:dyDescent="0.3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30"/>
      <c r="AA218" s="30"/>
      <c r="AB218" s="30"/>
      <c r="AC218" s="30"/>
      <c r="AD218" s="30"/>
      <c r="AE218" s="30"/>
      <c r="AF218" s="30"/>
      <c r="AG218" s="32"/>
      <c r="AH218" s="30"/>
      <c r="AI218" s="30"/>
      <c r="AJ218" s="30"/>
      <c r="AK218" s="30"/>
      <c r="AL218" s="30"/>
      <c r="AM218" s="30"/>
      <c r="AN218" s="30"/>
      <c r="AO218" s="30"/>
      <c r="AP218" s="30"/>
      <c r="AQ218" s="30"/>
      <c r="AR218" s="30"/>
      <c r="AS218" s="30"/>
      <c r="AT218" s="30"/>
      <c r="AU218" s="30"/>
    </row>
    <row r="219" spans="1:47" ht="15.6" x14ac:dyDescent="0.3">
      <c r="AG219" s="1"/>
    </row>
    <row r="220" spans="1:47" ht="15.6" x14ac:dyDescent="0.3">
      <c r="AG220" s="1"/>
    </row>
    <row r="221" spans="1:47" ht="15.6" x14ac:dyDescent="0.3">
      <c r="AG221" s="1"/>
    </row>
    <row r="222" spans="1:47" ht="15.6" x14ac:dyDescent="0.3">
      <c r="AG222" s="1"/>
    </row>
    <row r="223" spans="1:47" ht="15.6" x14ac:dyDescent="0.3">
      <c r="AG223" s="1"/>
    </row>
    <row r="224" spans="1:47" ht="15.6" x14ac:dyDescent="0.3">
      <c r="AG224" s="1"/>
    </row>
    <row r="225" spans="33:33" ht="15.6" x14ac:dyDescent="0.3">
      <c r="AG225" s="1"/>
    </row>
    <row r="226" spans="33:33" ht="15.6" x14ac:dyDescent="0.3">
      <c r="AG226" s="1"/>
    </row>
    <row r="227" spans="33:33" ht="15.6" x14ac:dyDescent="0.3">
      <c r="AG227" s="1"/>
    </row>
    <row r="228" spans="33:33" ht="15.6" x14ac:dyDescent="0.3">
      <c r="AG228" s="1"/>
    </row>
    <row r="229" spans="33:33" ht="15.6" x14ac:dyDescent="0.3">
      <c r="AG229" s="1"/>
    </row>
    <row r="230" spans="33:33" ht="15.6" x14ac:dyDescent="0.3">
      <c r="AG230" s="1"/>
    </row>
    <row r="231" spans="33:33" ht="15.6" x14ac:dyDescent="0.3">
      <c r="AG231" s="1"/>
    </row>
    <row r="232" spans="33:33" ht="15.6" x14ac:dyDescent="0.3">
      <c r="AG232" s="1"/>
    </row>
    <row r="233" spans="33:33" ht="15.6" x14ac:dyDescent="0.3">
      <c r="AG233" s="1"/>
    </row>
    <row r="234" spans="33:33" ht="15.6" x14ac:dyDescent="0.3">
      <c r="AG234" s="1"/>
    </row>
    <row r="235" spans="33:33" ht="15.6" x14ac:dyDescent="0.3">
      <c r="AG235" s="1"/>
    </row>
    <row r="236" spans="33:33" ht="15.6" x14ac:dyDescent="0.3">
      <c r="AG236" s="1"/>
    </row>
    <row r="237" spans="33:33" ht="15.6" x14ac:dyDescent="0.3">
      <c r="AG237" s="1"/>
    </row>
    <row r="238" spans="33:33" ht="15.6" x14ac:dyDescent="0.3">
      <c r="AG238" s="1"/>
    </row>
    <row r="239" spans="33:33" ht="15.6" x14ac:dyDescent="0.3">
      <c r="AG239" s="1"/>
    </row>
    <row r="240" spans="33:33" ht="15.6" x14ac:dyDescent="0.3">
      <c r="AG240" s="1"/>
    </row>
    <row r="241" spans="33:33" ht="15.6" x14ac:dyDescent="0.3">
      <c r="AG241" s="1"/>
    </row>
    <row r="242" spans="33:33" ht="15.6" x14ac:dyDescent="0.3">
      <c r="AG242" s="1"/>
    </row>
    <row r="243" spans="33:33" ht="15.6" x14ac:dyDescent="0.3">
      <c r="AG243" s="1"/>
    </row>
    <row r="244" spans="33:33" ht="15.6" x14ac:dyDescent="0.3">
      <c r="AG244" s="1"/>
    </row>
    <row r="245" spans="33:33" ht="15.6" x14ac:dyDescent="0.3">
      <c r="AG245" s="1"/>
    </row>
    <row r="246" spans="33:33" ht="15.6" x14ac:dyDescent="0.3">
      <c r="AG246" s="1"/>
    </row>
    <row r="247" spans="33:33" ht="15.6" x14ac:dyDescent="0.3">
      <c r="AG247" s="1"/>
    </row>
    <row r="248" spans="33:33" ht="15.6" x14ac:dyDescent="0.3">
      <c r="AG248" s="1"/>
    </row>
    <row r="249" spans="33:33" ht="15.6" x14ac:dyDescent="0.3">
      <c r="AG249" s="1"/>
    </row>
    <row r="250" spans="33:33" ht="15.6" x14ac:dyDescent="0.3">
      <c r="AG250" s="1"/>
    </row>
    <row r="251" spans="33:33" ht="15.6" x14ac:dyDescent="0.3">
      <c r="AG251" s="1"/>
    </row>
    <row r="252" spans="33:33" ht="15.6" x14ac:dyDescent="0.3">
      <c r="AG252" s="1"/>
    </row>
    <row r="253" spans="33:33" ht="15.6" x14ac:dyDescent="0.3">
      <c r="AG253" s="1"/>
    </row>
    <row r="254" spans="33:33" ht="15.6" x14ac:dyDescent="0.3">
      <c r="AG254" s="1"/>
    </row>
    <row r="255" spans="33:33" ht="15.6" x14ac:dyDescent="0.3">
      <c r="AG255" s="1"/>
    </row>
    <row r="256" spans="33:33" ht="15.6" x14ac:dyDescent="0.3">
      <c r="AG256" s="1"/>
    </row>
    <row r="257" spans="33:33" ht="15.6" x14ac:dyDescent="0.3">
      <c r="AG257" s="1"/>
    </row>
    <row r="258" spans="33:33" ht="15.6" x14ac:dyDescent="0.3">
      <c r="AG258" s="1"/>
    </row>
    <row r="259" spans="33:33" ht="15.6" x14ac:dyDescent="0.3">
      <c r="AG259" s="1"/>
    </row>
    <row r="260" spans="33:33" ht="15.6" x14ac:dyDescent="0.3">
      <c r="AG260" s="1"/>
    </row>
    <row r="261" spans="33:33" ht="15.6" x14ac:dyDescent="0.3">
      <c r="AG261" s="1"/>
    </row>
    <row r="262" spans="33:33" ht="15.6" x14ac:dyDescent="0.3">
      <c r="AG262" s="1"/>
    </row>
    <row r="263" spans="33:33" ht="15.6" x14ac:dyDescent="0.3">
      <c r="AG263" s="1"/>
    </row>
    <row r="264" spans="33:33" ht="15.6" x14ac:dyDescent="0.3">
      <c r="AG264" s="1"/>
    </row>
    <row r="265" spans="33:33" ht="15.6" x14ac:dyDescent="0.3">
      <c r="AG265" s="1"/>
    </row>
    <row r="266" spans="33:33" ht="15.6" x14ac:dyDescent="0.3">
      <c r="AG266" s="1"/>
    </row>
    <row r="267" spans="33:33" ht="15.6" x14ac:dyDescent="0.3">
      <c r="AG267" s="1"/>
    </row>
    <row r="268" spans="33:33" ht="15.6" x14ac:dyDescent="0.3">
      <c r="AG268" s="1"/>
    </row>
    <row r="269" spans="33:33" ht="15.6" x14ac:dyDescent="0.3">
      <c r="AG269" s="1"/>
    </row>
    <row r="270" spans="33:33" ht="15.6" x14ac:dyDescent="0.3">
      <c r="AG270" s="1"/>
    </row>
    <row r="271" spans="33:33" ht="15.6" x14ac:dyDescent="0.3">
      <c r="AG271" s="1"/>
    </row>
    <row r="272" spans="33:33" ht="15.6" x14ac:dyDescent="0.3">
      <c r="AG272" s="1"/>
    </row>
    <row r="273" spans="33:33" ht="15.6" x14ac:dyDescent="0.3">
      <c r="AG273" s="1"/>
    </row>
    <row r="274" spans="33:33" ht="15.6" x14ac:dyDescent="0.3">
      <c r="AG274" s="1"/>
    </row>
    <row r="275" spans="33:33" ht="15.6" x14ac:dyDescent="0.3">
      <c r="AG275" s="1"/>
    </row>
    <row r="276" spans="33:33" ht="15.6" x14ac:dyDescent="0.3">
      <c r="AG276" s="1"/>
    </row>
    <row r="277" spans="33:33" ht="15.6" x14ac:dyDescent="0.3">
      <c r="AG277" s="1"/>
    </row>
    <row r="278" spans="33:33" ht="15.6" x14ac:dyDescent="0.3">
      <c r="AG278" s="1"/>
    </row>
    <row r="279" spans="33:33" ht="15.6" x14ac:dyDescent="0.3">
      <c r="AG279" s="1"/>
    </row>
    <row r="280" spans="33:33" ht="15.6" x14ac:dyDescent="0.3">
      <c r="AG280" s="1"/>
    </row>
    <row r="281" spans="33:33" ht="15.6" x14ac:dyDescent="0.3">
      <c r="AG281" s="1"/>
    </row>
    <row r="282" spans="33:33" ht="15.6" x14ac:dyDescent="0.3">
      <c r="AG282" s="1"/>
    </row>
    <row r="283" spans="33:33" ht="15.6" x14ac:dyDescent="0.3">
      <c r="AG283" s="1"/>
    </row>
    <row r="284" spans="33:33" ht="15.6" x14ac:dyDescent="0.3">
      <c r="AG284" s="1"/>
    </row>
    <row r="285" spans="33:33" ht="15.6" x14ac:dyDescent="0.3">
      <c r="AG285" s="1"/>
    </row>
    <row r="286" spans="33:33" ht="15.6" x14ac:dyDescent="0.3">
      <c r="AG286" s="1"/>
    </row>
    <row r="287" spans="33:33" ht="15.6" x14ac:dyDescent="0.3">
      <c r="AG287" s="1"/>
    </row>
    <row r="288" spans="33:33" ht="15.6" x14ac:dyDescent="0.3">
      <c r="AG288" s="1"/>
    </row>
    <row r="289" spans="33:33" ht="15.6" x14ac:dyDescent="0.3">
      <c r="AG289" s="1"/>
    </row>
    <row r="290" spans="33:33" ht="15.6" x14ac:dyDescent="0.3">
      <c r="AG290" s="1"/>
    </row>
    <row r="291" spans="33:33" ht="15.6" x14ac:dyDescent="0.3">
      <c r="AG291" s="1"/>
    </row>
    <row r="292" spans="33:33" ht="15.6" x14ac:dyDescent="0.3">
      <c r="AG292" s="1"/>
    </row>
    <row r="293" spans="33:33" ht="15.6" x14ac:dyDescent="0.3">
      <c r="AG293" s="1"/>
    </row>
    <row r="294" spans="33:33" ht="15.6" x14ac:dyDescent="0.3">
      <c r="AG294" s="1"/>
    </row>
    <row r="295" spans="33:33" ht="15.6" x14ac:dyDescent="0.3">
      <c r="AG295" s="1"/>
    </row>
    <row r="296" spans="33:33" ht="15.6" x14ac:dyDescent="0.3">
      <c r="AG296" s="1"/>
    </row>
    <row r="297" spans="33:33" ht="15.6" x14ac:dyDescent="0.3">
      <c r="AG297" s="1"/>
    </row>
    <row r="298" spans="33:33" ht="15.6" x14ac:dyDescent="0.3">
      <c r="AG298" s="1"/>
    </row>
    <row r="299" spans="33:33" ht="15.6" x14ac:dyDescent="0.3">
      <c r="AG299" s="1"/>
    </row>
    <row r="300" spans="33:33" ht="15.6" x14ac:dyDescent="0.3">
      <c r="AG300" s="1"/>
    </row>
    <row r="301" spans="33:33" ht="15.6" x14ac:dyDescent="0.3">
      <c r="AG301" s="1"/>
    </row>
    <row r="302" spans="33:33" ht="15.6" x14ac:dyDescent="0.3">
      <c r="AG302" s="1"/>
    </row>
    <row r="303" spans="33:33" ht="15.6" x14ac:dyDescent="0.3">
      <c r="AG303" s="1"/>
    </row>
    <row r="304" spans="33:33" ht="15.6" x14ac:dyDescent="0.3">
      <c r="AG304" s="1"/>
    </row>
    <row r="305" spans="33:33" ht="15.6" x14ac:dyDescent="0.3">
      <c r="AG305" s="1"/>
    </row>
    <row r="306" spans="33:33" ht="15.6" x14ac:dyDescent="0.3">
      <c r="AG306" s="1"/>
    </row>
    <row r="307" spans="33:33" ht="15.6" x14ac:dyDescent="0.3">
      <c r="AG307" s="1"/>
    </row>
    <row r="308" spans="33:33" ht="15.6" x14ac:dyDescent="0.3">
      <c r="AG308" s="1"/>
    </row>
    <row r="309" spans="33:33" ht="15.6" x14ac:dyDescent="0.3">
      <c r="AG309" s="1"/>
    </row>
    <row r="310" spans="33:33" ht="15.6" x14ac:dyDescent="0.3">
      <c r="AG310" s="1"/>
    </row>
    <row r="311" spans="33:33" ht="15.6" x14ac:dyDescent="0.3">
      <c r="AG311" s="1"/>
    </row>
    <row r="312" spans="33:33" ht="15.6" x14ac:dyDescent="0.3">
      <c r="AG312" s="1"/>
    </row>
    <row r="313" spans="33:33" ht="15.6" x14ac:dyDescent="0.3">
      <c r="AG313" s="1"/>
    </row>
    <row r="314" spans="33:33" ht="15.6" x14ac:dyDescent="0.3">
      <c r="AG314" s="1"/>
    </row>
    <row r="315" spans="33:33" ht="15.6" x14ac:dyDescent="0.3">
      <c r="AG315" s="1"/>
    </row>
    <row r="316" spans="33:33" ht="15.6" x14ac:dyDescent="0.3">
      <c r="AG316" s="1"/>
    </row>
    <row r="317" spans="33:33" ht="15.6" x14ac:dyDescent="0.3">
      <c r="AG317" s="1"/>
    </row>
    <row r="318" spans="33:33" ht="15.6" x14ac:dyDescent="0.3">
      <c r="AG318" s="1"/>
    </row>
    <row r="319" spans="33:33" ht="15.6" x14ac:dyDescent="0.3">
      <c r="AG319" s="1"/>
    </row>
    <row r="320" spans="33:33" ht="15.6" x14ac:dyDescent="0.3">
      <c r="AG320" s="1"/>
    </row>
    <row r="321" spans="33:33" ht="15.6" x14ac:dyDescent="0.3">
      <c r="AG321" s="1"/>
    </row>
    <row r="322" spans="33:33" ht="15.6" x14ac:dyDescent="0.3">
      <c r="AG322" s="1"/>
    </row>
    <row r="323" spans="33:33" ht="15.6" x14ac:dyDescent="0.3">
      <c r="AG323" s="1"/>
    </row>
    <row r="324" spans="33:33" ht="15.6" x14ac:dyDescent="0.3">
      <c r="AG324" s="1"/>
    </row>
    <row r="325" spans="33:33" ht="15.6" x14ac:dyDescent="0.3">
      <c r="AG325" s="1"/>
    </row>
    <row r="326" spans="33:33" ht="15.6" x14ac:dyDescent="0.3">
      <c r="AG326" s="1"/>
    </row>
    <row r="327" spans="33:33" ht="15.6" x14ac:dyDescent="0.3">
      <c r="AG327" s="1"/>
    </row>
    <row r="328" spans="33:33" ht="15.6" x14ac:dyDescent="0.3">
      <c r="AG328" s="1"/>
    </row>
    <row r="329" spans="33:33" ht="15.6" x14ac:dyDescent="0.3">
      <c r="AG329" s="1"/>
    </row>
    <row r="330" spans="33:33" ht="15.6" x14ac:dyDescent="0.3">
      <c r="AG330" s="1"/>
    </row>
    <row r="331" spans="33:33" ht="15.6" x14ac:dyDescent="0.3">
      <c r="AG331" s="1"/>
    </row>
    <row r="332" spans="33:33" ht="15.6" x14ac:dyDescent="0.3">
      <c r="AG332" s="1"/>
    </row>
    <row r="333" spans="33:33" ht="15.6" x14ac:dyDescent="0.3">
      <c r="AG333" s="1"/>
    </row>
    <row r="334" spans="33:33" ht="15.6" x14ac:dyDescent="0.3">
      <c r="AG334" s="1"/>
    </row>
    <row r="335" spans="33:33" ht="15.6" x14ac:dyDescent="0.3">
      <c r="AG335" s="1"/>
    </row>
    <row r="336" spans="33:33" ht="15.6" x14ac:dyDescent="0.3">
      <c r="AG336" s="1"/>
    </row>
    <row r="337" spans="33:33" ht="15.6" x14ac:dyDescent="0.3">
      <c r="AG337" s="1"/>
    </row>
    <row r="338" spans="33:33" ht="15.6" x14ac:dyDescent="0.3">
      <c r="AG338" s="1"/>
    </row>
    <row r="339" spans="33:33" ht="15.6" x14ac:dyDescent="0.3">
      <c r="AG339" s="1"/>
    </row>
    <row r="340" spans="33:33" ht="15.6" x14ac:dyDescent="0.3">
      <c r="AG340" s="1"/>
    </row>
    <row r="341" spans="33:33" ht="15.6" x14ac:dyDescent="0.3">
      <c r="AG341" s="1"/>
    </row>
    <row r="342" spans="33:33" ht="15.6" x14ac:dyDescent="0.3">
      <c r="AG342" s="1"/>
    </row>
    <row r="343" spans="33:33" ht="15.6" x14ac:dyDescent="0.3">
      <c r="AG343" s="1"/>
    </row>
    <row r="344" spans="33:33" ht="15.6" x14ac:dyDescent="0.3">
      <c r="AG344" s="1"/>
    </row>
    <row r="345" spans="33:33" ht="15.6" x14ac:dyDescent="0.3">
      <c r="AG345" s="1"/>
    </row>
    <row r="346" spans="33:33" ht="15.6" x14ac:dyDescent="0.3">
      <c r="AG346" s="1"/>
    </row>
    <row r="347" spans="33:33" ht="15.6" x14ac:dyDescent="0.3">
      <c r="AG347" s="1"/>
    </row>
    <row r="348" spans="33:33" ht="15.6" x14ac:dyDescent="0.3">
      <c r="AG348" s="1"/>
    </row>
    <row r="349" spans="33:33" ht="15.6" x14ac:dyDescent="0.3">
      <c r="AG349" s="1"/>
    </row>
    <row r="350" spans="33:33" ht="15.6" x14ac:dyDescent="0.3">
      <c r="AG350" s="1"/>
    </row>
    <row r="351" spans="33:33" ht="15.6" x14ac:dyDescent="0.3">
      <c r="AG351" s="1"/>
    </row>
    <row r="352" spans="33:33" ht="15.6" x14ac:dyDescent="0.3">
      <c r="AG352" s="1"/>
    </row>
    <row r="353" spans="33:33" ht="15.6" x14ac:dyDescent="0.3">
      <c r="AG353" s="1"/>
    </row>
    <row r="354" spans="33:33" ht="15.6" x14ac:dyDescent="0.3">
      <c r="AG354" s="1"/>
    </row>
    <row r="355" spans="33:33" ht="15.6" x14ac:dyDescent="0.3">
      <c r="AG355" s="1"/>
    </row>
    <row r="356" spans="33:33" ht="15.6" x14ac:dyDescent="0.3">
      <c r="AG356" s="1"/>
    </row>
    <row r="357" spans="33:33" ht="15.6" x14ac:dyDescent="0.3">
      <c r="AG357" s="1"/>
    </row>
    <row r="358" spans="33:33" ht="15.6" x14ac:dyDescent="0.3">
      <c r="AG358" s="1"/>
    </row>
    <row r="359" spans="33:33" ht="15.6" x14ac:dyDescent="0.3">
      <c r="AG359" s="1"/>
    </row>
    <row r="360" spans="33:33" ht="15.6" x14ac:dyDescent="0.3">
      <c r="AG360" s="1"/>
    </row>
    <row r="361" spans="33:33" ht="15.6" x14ac:dyDescent="0.3">
      <c r="AG361" s="1"/>
    </row>
    <row r="362" spans="33:33" ht="15.6" x14ac:dyDescent="0.3">
      <c r="AG362" s="1"/>
    </row>
    <row r="363" spans="33:33" ht="15.6" x14ac:dyDescent="0.3">
      <c r="AG363" s="1"/>
    </row>
    <row r="364" spans="33:33" ht="15.6" x14ac:dyDescent="0.3">
      <c r="AG364" s="1"/>
    </row>
    <row r="365" spans="33:33" ht="15.6" x14ac:dyDescent="0.3">
      <c r="AG365" s="1"/>
    </row>
    <row r="366" spans="33:33" ht="15.6" x14ac:dyDescent="0.3">
      <c r="AG366" s="1"/>
    </row>
    <row r="367" spans="33:33" ht="15.6" x14ac:dyDescent="0.3">
      <c r="AG367" s="1"/>
    </row>
    <row r="368" spans="33:33" ht="15.6" x14ac:dyDescent="0.3">
      <c r="AG368" s="1"/>
    </row>
    <row r="369" spans="33:33" ht="15.6" x14ac:dyDescent="0.3">
      <c r="AG369" s="1"/>
    </row>
    <row r="370" spans="33:33" ht="15.6" x14ac:dyDescent="0.3">
      <c r="AG370" s="1"/>
    </row>
    <row r="371" spans="33:33" ht="15.6" x14ac:dyDescent="0.3">
      <c r="AG371" s="1"/>
    </row>
    <row r="372" spans="33:33" ht="15.6" x14ac:dyDescent="0.3">
      <c r="AG372" s="1"/>
    </row>
    <row r="373" spans="33:33" ht="15.6" x14ac:dyDescent="0.3">
      <c r="AG373" s="1"/>
    </row>
    <row r="374" spans="33:33" ht="15.6" x14ac:dyDescent="0.3">
      <c r="AG374" s="1"/>
    </row>
    <row r="375" spans="33:33" ht="15.6" x14ac:dyDescent="0.3">
      <c r="AG375" s="1"/>
    </row>
    <row r="376" spans="33:33" ht="15.6" x14ac:dyDescent="0.3">
      <c r="AG376" s="1"/>
    </row>
    <row r="377" spans="33:33" ht="15.6" x14ac:dyDescent="0.3">
      <c r="AG377" s="1"/>
    </row>
    <row r="378" spans="33:33" ht="15.6" x14ac:dyDescent="0.3">
      <c r="AG378" s="1"/>
    </row>
    <row r="379" spans="33:33" ht="15.6" x14ac:dyDescent="0.3">
      <c r="AG379" s="1"/>
    </row>
    <row r="380" spans="33:33" ht="15.6" x14ac:dyDescent="0.3">
      <c r="AG380" s="1"/>
    </row>
    <row r="381" spans="33:33" ht="15.6" x14ac:dyDescent="0.3">
      <c r="AG381" s="1"/>
    </row>
    <row r="382" spans="33:33" ht="15.6" x14ac:dyDescent="0.3">
      <c r="AG382" s="1"/>
    </row>
    <row r="383" spans="33:33" ht="15.6" x14ac:dyDescent="0.3">
      <c r="AG383" s="1"/>
    </row>
    <row r="384" spans="33:33" ht="15.6" x14ac:dyDescent="0.3">
      <c r="AG384" s="1"/>
    </row>
    <row r="385" spans="33:33" ht="15.6" x14ac:dyDescent="0.3">
      <c r="AG385" s="1"/>
    </row>
    <row r="386" spans="33:33" ht="15.6" x14ac:dyDescent="0.3">
      <c r="AG386" s="1"/>
    </row>
    <row r="387" spans="33:33" ht="15.6" x14ac:dyDescent="0.3">
      <c r="AG387" s="1"/>
    </row>
    <row r="388" spans="33:33" ht="15.6" x14ac:dyDescent="0.3">
      <c r="AG388" s="1"/>
    </row>
    <row r="389" spans="33:33" ht="15.6" x14ac:dyDescent="0.3">
      <c r="AG389" s="1"/>
    </row>
    <row r="390" spans="33:33" ht="15.6" x14ac:dyDescent="0.3">
      <c r="AG390" s="1"/>
    </row>
    <row r="391" spans="33:33" ht="15.6" x14ac:dyDescent="0.3">
      <c r="AG391" s="1"/>
    </row>
    <row r="392" spans="33:33" ht="15.6" x14ac:dyDescent="0.3">
      <c r="AG392" s="1"/>
    </row>
    <row r="393" spans="33:33" ht="15.6" x14ac:dyDescent="0.3">
      <c r="AG393" s="1"/>
    </row>
    <row r="394" spans="33:33" ht="15.6" x14ac:dyDescent="0.3">
      <c r="AG394" s="1"/>
    </row>
    <row r="395" spans="33:33" ht="15.6" x14ac:dyDescent="0.3">
      <c r="AG395" s="1"/>
    </row>
    <row r="396" spans="33:33" ht="15.6" x14ac:dyDescent="0.3">
      <c r="AG396" s="1"/>
    </row>
    <row r="397" spans="33:33" ht="15.6" x14ac:dyDescent="0.3">
      <c r="AG397" s="1"/>
    </row>
    <row r="398" spans="33:33" ht="15.6" x14ac:dyDescent="0.3">
      <c r="AG398" s="1"/>
    </row>
    <row r="399" spans="33:33" ht="15.6" x14ac:dyDescent="0.3">
      <c r="AG399" s="1"/>
    </row>
    <row r="400" spans="33:33" ht="15.6" x14ac:dyDescent="0.3">
      <c r="AG400" s="1"/>
    </row>
    <row r="401" spans="33:33" ht="15.6" x14ac:dyDescent="0.3">
      <c r="AG401" s="1"/>
    </row>
    <row r="402" spans="33:33" ht="15.6" x14ac:dyDescent="0.3">
      <c r="AG402" s="1"/>
    </row>
    <row r="403" spans="33:33" ht="15.6" x14ac:dyDescent="0.3">
      <c r="AG403" s="1"/>
    </row>
    <row r="404" spans="33:33" ht="15.6" x14ac:dyDescent="0.3">
      <c r="AG404" s="1"/>
    </row>
    <row r="405" spans="33:33" ht="15.6" x14ac:dyDescent="0.3">
      <c r="AG405" s="1"/>
    </row>
    <row r="406" spans="33:33" ht="15.6" x14ac:dyDescent="0.3">
      <c r="AG406" s="1"/>
    </row>
    <row r="407" spans="33:33" ht="15.6" x14ac:dyDescent="0.3">
      <c r="AG407" s="1"/>
    </row>
    <row r="408" spans="33:33" ht="15.6" x14ac:dyDescent="0.3">
      <c r="AG408" s="1"/>
    </row>
    <row r="409" spans="33:33" ht="15.6" x14ac:dyDescent="0.3">
      <c r="AG409" s="1"/>
    </row>
    <row r="410" spans="33:33" ht="15.6" x14ac:dyDescent="0.3">
      <c r="AG410" s="1"/>
    </row>
    <row r="411" spans="33:33" ht="15.6" x14ac:dyDescent="0.3">
      <c r="AG411" s="1"/>
    </row>
    <row r="412" spans="33:33" ht="15.6" x14ac:dyDescent="0.3">
      <c r="AG412" s="1"/>
    </row>
    <row r="413" spans="33:33" ht="15.6" x14ac:dyDescent="0.3">
      <c r="AG413" s="1"/>
    </row>
    <row r="414" spans="33:33" ht="15.6" x14ac:dyDescent="0.3">
      <c r="AG414" s="1"/>
    </row>
    <row r="415" spans="33:33" ht="15.6" x14ac:dyDescent="0.3">
      <c r="AG415" s="1"/>
    </row>
    <row r="416" spans="33:33" ht="15.6" x14ac:dyDescent="0.3">
      <c r="AG416" s="1"/>
    </row>
    <row r="417" spans="33:33" ht="15.6" x14ac:dyDescent="0.3">
      <c r="AG417" s="1"/>
    </row>
    <row r="418" spans="33:33" ht="15.6" x14ac:dyDescent="0.3">
      <c r="AG418" s="1"/>
    </row>
    <row r="419" spans="33:33" ht="15.6" x14ac:dyDescent="0.3">
      <c r="AG419" s="1"/>
    </row>
    <row r="420" spans="33:33" ht="15.6" x14ac:dyDescent="0.3">
      <c r="AG420" s="1"/>
    </row>
    <row r="421" spans="33:33" ht="15.6" x14ac:dyDescent="0.3">
      <c r="AG421" s="1"/>
    </row>
    <row r="422" spans="33:33" ht="15.6" x14ac:dyDescent="0.3">
      <c r="AG422" s="1"/>
    </row>
    <row r="423" spans="33:33" ht="15.6" x14ac:dyDescent="0.3">
      <c r="AG423" s="1"/>
    </row>
    <row r="424" spans="33:33" ht="15.6" x14ac:dyDescent="0.3">
      <c r="AG424" s="1"/>
    </row>
    <row r="425" spans="33:33" ht="15.6" x14ac:dyDescent="0.3">
      <c r="AG425" s="1"/>
    </row>
    <row r="426" spans="33:33" ht="15.6" x14ac:dyDescent="0.3">
      <c r="AG426" s="1"/>
    </row>
    <row r="427" spans="33:33" ht="15.6" x14ac:dyDescent="0.3">
      <c r="AG427" s="1"/>
    </row>
    <row r="428" spans="33:33" ht="15.6" x14ac:dyDescent="0.3">
      <c r="AG428" s="1"/>
    </row>
    <row r="429" spans="33:33" ht="15.6" x14ac:dyDescent="0.3">
      <c r="AG429" s="1"/>
    </row>
    <row r="430" spans="33:33" ht="15.6" x14ac:dyDescent="0.3">
      <c r="AG430" s="1"/>
    </row>
    <row r="431" spans="33:33" ht="15.6" x14ac:dyDescent="0.3">
      <c r="AG431" s="1"/>
    </row>
    <row r="432" spans="33:33" ht="15.6" x14ac:dyDescent="0.3">
      <c r="AG432" s="1"/>
    </row>
    <row r="433" spans="33:33" ht="15.6" x14ac:dyDescent="0.3">
      <c r="AG433" s="1"/>
    </row>
    <row r="434" spans="33:33" ht="15.6" x14ac:dyDescent="0.3">
      <c r="AG434" s="1"/>
    </row>
    <row r="435" spans="33:33" ht="15.6" x14ac:dyDescent="0.3">
      <c r="AG435" s="1"/>
    </row>
    <row r="436" spans="33:33" ht="15.6" x14ac:dyDescent="0.3">
      <c r="AG436" s="1"/>
    </row>
    <row r="437" spans="33:33" ht="15.6" x14ac:dyDescent="0.3">
      <c r="AG437" s="1"/>
    </row>
    <row r="438" spans="33:33" ht="15.6" x14ac:dyDescent="0.3">
      <c r="AG438" s="1"/>
    </row>
    <row r="439" spans="33:33" ht="15.6" x14ac:dyDescent="0.3">
      <c r="AG439" s="1"/>
    </row>
    <row r="440" spans="33:33" ht="15.6" x14ac:dyDescent="0.3">
      <c r="AG440" s="1"/>
    </row>
    <row r="441" spans="33:33" ht="15.6" x14ac:dyDescent="0.3">
      <c r="AG441" s="1"/>
    </row>
    <row r="442" spans="33:33" ht="15.6" x14ac:dyDescent="0.3">
      <c r="AG442" s="1"/>
    </row>
    <row r="443" spans="33:33" ht="15.6" x14ac:dyDescent="0.3">
      <c r="AG443" s="1"/>
    </row>
    <row r="444" spans="33:33" ht="15.6" x14ac:dyDescent="0.3">
      <c r="AG444" s="1"/>
    </row>
    <row r="445" spans="33:33" ht="15.6" x14ac:dyDescent="0.3">
      <c r="AG445" s="1"/>
    </row>
    <row r="446" spans="33:33" ht="15.6" x14ac:dyDescent="0.3">
      <c r="AG446" s="1"/>
    </row>
    <row r="447" spans="33:33" ht="15.6" x14ac:dyDescent="0.3">
      <c r="AG447" s="1"/>
    </row>
    <row r="448" spans="33:33" ht="15.6" x14ac:dyDescent="0.3">
      <c r="AG448" s="1"/>
    </row>
    <row r="449" spans="33:33" ht="15.6" x14ac:dyDescent="0.3">
      <c r="AG449" s="1"/>
    </row>
    <row r="450" spans="33:33" ht="15.6" x14ac:dyDescent="0.3">
      <c r="AG450" s="1"/>
    </row>
    <row r="451" spans="33:33" ht="15.6" x14ac:dyDescent="0.3">
      <c r="AG451" s="1"/>
    </row>
    <row r="452" spans="33:33" ht="15.6" x14ac:dyDescent="0.3">
      <c r="AG452" s="1"/>
    </row>
    <row r="453" spans="33:33" ht="15.6" x14ac:dyDescent="0.3">
      <c r="AG453" s="1"/>
    </row>
    <row r="454" spans="33:33" ht="15.6" x14ac:dyDescent="0.3">
      <c r="AG454" s="1"/>
    </row>
    <row r="455" spans="33:33" ht="15.6" x14ac:dyDescent="0.3">
      <c r="AG455" s="1"/>
    </row>
    <row r="456" spans="33:33" ht="15.6" x14ac:dyDescent="0.3">
      <c r="AG456" s="1"/>
    </row>
    <row r="457" spans="33:33" ht="15.6" x14ac:dyDescent="0.3">
      <c r="AG457" s="1"/>
    </row>
    <row r="458" spans="33:33" ht="15.6" x14ac:dyDescent="0.3">
      <c r="AG458" s="1"/>
    </row>
    <row r="459" spans="33:33" ht="15.6" x14ac:dyDescent="0.3">
      <c r="AG459" s="1"/>
    </row>
    <row r="460" spans="33:33" ht="15.6" x14ac:dyDescent="0.3">
      <c r="AG460" s="1"/>
    </row>
    <row r="461" spans="33:33" ht="15.6" x14ac:dyDescent="0.3">
      <c r="AG461" s="1"/>
    </row>
    <row r="462" spans="33:33" ht="15.6" x14ac:dyDescent="0.3">
      <c r="AG462" s="1"/>
    </row>
    <row r="463" spans="33:33" ht="15.6" x14ac:dyDescent="0.3">
      <c r="AG463" s="1"/>
    </row>
    <row r="464" spans="33:33" ht="15.6" x14ac:dyDescent="0.3">
      <c r="AG464" s="1"/>
    </row>
    <row r="465" spans="33:33" ht="15.6" x14ac:dyDescent="0.3">
      <c r="AG465" s="1"/>
    </row>
    <row r="466" spans="33:33" ht="15.6" x14ac:dyDescent="0.3">
      <c r="AG466" s="1"/>
    </row>
    <row r="467" spans="33:33" ht="15.6" x14ac:dyDescent="0.3">
      <c r="AG467" s="1"/>
    </row>
    <row r="468" spans="33:33" ht="15.6" x14ac:dyDescent="0.3">
      <c r="AG468" s="1"/>
    </row>
    <row r="469" spans="33:33" ht="15.6" x14ac:dyDescent="0.3">
      <c r="AG469" s="1"/>
    </row>
    <row r="470" spans="33:33" ht="15.6" x14ac:dyDescent="0.3">
      <c r="AG470" s="1"/>
    </row>
    <row r="471" spans="33:33" ht="15.6" x14ac:dyDescent="0.3">
      <c r="AG471" s="1"/>
    </row>
    <row r="472" spans="33:33" ht="15.6" x14ac:dyDescent="0.3">
      <c r="AG472" s="1"/>
    </row>
    <row r="473" spans="33:33" ht="15.6" x14ac:dyDescent="0.3">
      <c r="AG473" s="1"/>
    </row>
    <row r="474" spans="33:33" ht="15.6" x14ac:dyDescent="0.3">
      <c r="AG474" s="1"/>
    </row>
    <row r="475" spans="33:33" ht="15.6" x14ac:dyDescent="0.3">
      <c r="AG475" s="1"/>
    </row>
    <row r="476" spans="33:33" ht="15.6" x14ac:dyDescent="0.3">
      <c r="AG476" s="1"/>
    </row>
    <row r="477" spans="33:33" ht="15.6" x14ac:dyDescent="0.3">
      <c r="AG477" s="1"/>
    </row>
    <row r="478" spans="33:33" ht="15.6" x14ac:dyDescent="0.3">
      <c r="AG478" s="1"/>
    </row>
    <row r="479" spans="33:33" ht="15.6" x14ac:dyDescent="0.3">
      <c r="AG479" s="1"/>
    </row>
    <row r="480" spans="33:33" ht="15.6" x14ac:dyDescent="0.3">
      <c r="AG480" s="1"/>
    </row>
    <row r="481" spans="33:33" ht="15.6" x14ac:dyDescent="0.3">
      <c r="AG481" s="1"/>
    </row>
    <row r="482" spans="33:33" ht="15.6" x14ac:dyDescent="0.3">
      <c r="AG482" s="1"/>
    </row>
    <row r="483" spans="33:33" ht="15.6" x14ac:dyDescent="0.3">
      <c r="AG483" s="1"/>
    </row>
    <row r="484" spans="33:33" ht="15.6" x14ac:dyDescent="0.3">
      <c r="AG484" s="1"/>
    </row>
    <row r="485" spans="33:33" ht="15.6" x14ac:dyDescent="0.3">
      <c r="AG485" s="1"/>
    </row>
    <row r="486" spans="33:33" ht="15.6" x14ac:dyDescent="0.3">
      <c r="AG486" s="1"/>
    </row>
    <row r="487" spans="33:33" ht="15.6" x14ac:dyDescent="0.3">
      <c r="AG487" s="1"/>
    </row>
    <row r="488" spans="33:33" ht="15.6" x14ac:dyDescent="0.3">
      <c r="AG488" s="1"/>
    </row>
    <row r="489" spans="33:33" ht="15.6" x14ac:dyDescent="0.3">
      <c r="AG489" s="1"/>
    </row>
    <row r="490" spans="33:33" ht="15.6" x14ac:dyDescent="0.3">
      <c r="AG490" s="1"/>
    </row>
    <row r="491" spans="33:33" ht="15.6" x14ac:dyDescent="0.3">
      <c r="AG491" s="1"/>
    </row>
    <row r="492" spans="33:33" ht="15.6" x14ac:dyDescent="0.3">
      <c r="AG492" s="1"/>
    </row>
    <row r="493" spans="33:33" ht="15.6" x14ac:dyDescent="0.3">
      <c r="AG493" s="1"/>
    </row>
    <row r="494" spans="33:33" ht="15.6" x14ac:dyDescent="0.3">
      <c r="AG494" s="1"/>
    </row>
    <row r="495" spans="33:33" ht="15.6" x14ac:dyDescent="0.3">
      <c r="AG495" s="1"/>
    </row>
    <row r="496" spans="33:33" ht="15.6" x14ac:dyDescent="0.3">
      <c r="AG496" s="1"/>
    </row>
    <row r="497" spans="33:33" ht="15.6" x14ac:dyDescent="0.3">
      <c r="AG497" s="1"/>
    </row>
    <row r="498" spans="33:33" ht="15.6" x14ac:dyDescent="0.3">
      <c r="AG498" s="1"/>
    </row>
    <row r="499" spans="33:33" ht="15.6" x14ac:dyDescent="0.3">
      <c r="AG499" s="1"/>
    </row>
    <row r="500" spans="33:33" ht="15.6" x14ac:dyDescent="0.3">
      <c r="AG500" s="1"/>
    </row>
    <row r="501" spans="33:33" ht="15.6" x14ac:dyDescent="0.3">
      <c r="AG501" s="1"/>
    </row>
    <row r="502" spans="33:33" ht="15.6" x14ac:dyDescent="0.3">
      <c r="AG502" s="1"/>
    </row>
    <row r="503" spans="33:33" ht="15.6" x14ac:dyDescent="0.3">
      <c r="AG503" s="1"/>
    </row>
    <row r="504" spans="33:33" ht="15.6" x14ac:dyDescent="0.3">
      <c r="AG504" s="1"/>
    </row>
    <row r="505" spans="33:33" ht="15.6" x14ac:dyDescent="0.3">
      <c r="AG505" s="1"/>
    </row>
    <row r="506" spans="33:33" ht="15.6" x14ac:dyDescent="0.3">
      <c r="AG506" s="1"/>
    </row>
    <row r="507" spans="33:33" ht="15.6" x14ac:dyDescent="0.3">
      <c r="AG507" s="1"/>
    </row>
    <row r="508" spans="33:33" ht="15.6" x14ac:dyDescent="0.3">
      <c r="AG508" s="1"/>
    </row>
    <row r="509" spans="33:33" ht="15.6" x14ac:dyDescent="0.3">
      <c r="AG509" s="1"/>
    </row>
    <row r="510" spans="33:33" ht="15.6" x14ac:dyDescent="0.3">
      <c r="AG510" s="1"/>
    </row>
    <row r="511" spans="33:33" ht="15.6" x14ac:dyDescent="0.3">
      <c r="AG511" s="1"/>
    </row>
    <row r="512" spans="33:33" ht="15.6" x14ac:dyDescent="0.3">
      <c r="AG512" s="1"/>
    </row>
    <row r="513" spans="33:33" ht="15.6" x14ac:dyDescent="0.3">
      <c r="AG513" s="1"/>
    </row>
    <row r="514" spans="33:33" ht="15.6" x14ac:dyDescent="0.3">
      <c r="AG514" s="1"/>
    </row>
    <row r="515" spans="33:33" ht="15.6" x14ac:dyDescent="0.3">
      <c r="AG515" s="1"/>
    </row>
    <row r="516" spans="33:33" ht="15.6" x14ac:dyDescent="0.3">
      <c r="AG516" s="1"/>
    </row>
    <row r="517" spans="33:33" ht="15.6" x14ac:dyDescent="0.3">
      <c r="AG517" s="1"/>
    </row>
    <row r="518" spans="33:33" ht="15.6" x14ac:dyDescent="0.3">
      <c r="AG518" s="1"/>
    </row>
    <row r="519" spans="33:33" ht="15.6" x14ac:dyDescent="0.3">
      <c r="AG519" s="1"/>
    </row>
    <row r="520" spans="33:33" ht="15.6" x14ac:dyDescent="0.3">
      <c r="AG520" s="1"/>
    </row>
    <row r="521" spans="33:33" ht="15.6" x14ac:dyDescent="0.3">
      <c r="AG521" s="1"/>
    </row>
    <row r="522" spans="33:33" ht="15.6" x14ac:dyDescent="0.3">
      <c r="AG522" s="1"/>
    </row>
    <row r="523" spans="33:33" ht="15.6" x14ac:dyDescent="0.3">
      <c r="AG523" s="1"/>
    </row>
    <row r="524" spans="33:33" ht="15.6" x14ac:dyDescent="0.3">
      <c r="AG524" s="1"/>
    </row>
    <row r="525" spans="33:33" ht="15.6" x14ac:dyDescent="0.3">
      <c r="AG525" s="1"/>
    </row>
    <row r="526" spans="33:33" ht="15.6" x14ac:dyDescent="0.3">
      <c r="AG526" s="1"/>
    </row>
    <row r="527" spans="33:33" ht="15.6" x14ac:dyDescent="0.3">
      <c r="AG527" s="1"/>
    </row>
    <row r="528" spans="33:33" ht="15.6" x14ac:dyDescent="0.3">
      <c r="AG528" s="1"/>
    </row>
    <row r="529" spans="33:33" ht="15.6" x14ac:dyDescent="0.3">
      <c r="AG529" s="1"/>
    </row>
    <row r="530" spans="33:33" ht="15.6" x14ac:dyDescent="0.3">
      <c r="AG530" s="1"/>
    </row>
    <row r="531" spans="33:33" ht="15.6" x14ac:dyDescent="0.3">
      <c r="AG531" s="1"/>
    </row>
    <row r="532" spans="33:33" ht="15.6" x14ac:dyDescent="0.3">
      <c r="AG532" s="1"/>
    </row>
    <row r="533" spans="33:33" ht="15.6" x14ac:dyDescent="0.3">
      <c r="AG533" s="1"/>
    </row>
    <row r="534" spans="33:33" ht="15.6" x14ac:dyDescent="0.3">
      <c r="AG534" s="1"/>
    </row>
    <row r="535" spans="33:33" ht="15.6" x14ac:dyDescent="0.3">
      <c r="AG535" s="1"/>
    </row>
    <row r="536" spans="33:33" ht="15.6" x14ac:dyDescent="0.3">
      <c r="AG536" s="1"/>
    </row>
    <row r="537" spans="33:33" ht="15.6" x14ac:dyDescent="0.3">
      <c r="AG537" s="1"/>
    </row>
    <row r="538" spans="33:33" ht="15.6" x14ac:dyDescent="0.3">
      <c r="AG538" s="1"/>
    </row>
    <row r="539" spans="33:33" ht="15.6" x14ac:dyDescent="0.3">
      <c r="AG539" s="1"/>
    </row>
    <row r="540" spans="33:33" ht="15.6" x14ac:dyDescent="0.3">
      <c r="AG540" s="1"/>
    </row>
    <row r="541" spans="33:33" ht="15.6" x14ac:dyDescent="0.3">
      <c r="AG541" s="1"/>
    </row>
    <row r="542" spans="33:33" ht="15.6" x14ac:dyDescent="0.3">
      <c r="AG542" s="1"/>
    </row>
    <row r="543" spans="33:33" ht="15.6" x14ac:dyDescent="0.3">
      <c r="AG543" s="1"/>
    </row>
    <row r="544" spans="33:33" ht="15.6" x14ac:dyDescent="0.3">
      <c r="AG544" s="1"/>
    </row>
    <row r="545" spans="33:33" ht="15.6" x14ac:dyDescent="0.3">
      <c r="AG545" s="1"/>
    </row>
    <row r="546" spans="33:33" ht="15.6" x14ac:dyDescent="0.3">
      <c r="AG546" s="1"/>
    </row>
    <row r="547" spans="33:33" ht="15.6" x14ac:dyDescent="0.3">
      <c r="AG547" s="1"/>
    </row>
    <row r="548" spans="33:33" ht="15.6" x14ac:dyDescent="0.3">
      <c r="AG548" s="1"/>
    </row>
    <row r="549" spans="33:33" ht="15.6" x14ac:dyDescent="0.3">
      <c r="AG549" s="1"/>
    </row>
    <row r="550" spans="33:33" ht="15.6" x14ac:dyDescent="0.3">
      <c r="AG550" s="1"/>
    </row>
    <row r="551" spans="33:33" ht="15.6" x14ac:dyDescent="0.3">
      <c r="AG551" s="1"/>
    </row>
    <row r="552" spans="33:33" ht="15.6" x14ac:dyDescent="0.3">
      <c r="AG552" s="1"/>
    </row>
    <row r="553" spans="33:33" ht="15.6" x14ac:dyDescent="0.3">
      <c r="AG553" s="1"/>
    </row>
    <row r="554" spans="33:33" ht="15.6" x14ac:dyDescent="0.3">
      <c r="AG554" s="1"/>
    </row>
    <row r="555" spans="33:33" ht="15.6" x14ac:dyDescent="0.3">
      <c r="AG555" s="1"/>
    </row>
    <row r="556" spans="33:33" ht="15.6" x14ac:dyDescent="0.3">
      <c r="AG556" s="1"/>
    </row>
    <row r="557" spans="33:33" ht="15.6" x14ac:dyDescent="0.3">
      <c r="AG557" s="1"/>
    </row>
    <row r="558" spans="33:33" ht="15.6" x14ac:dyDescent="0.3">
      <c r="AG558" s="1"/>
    </row>
    <row r="559" spans="33:33" ht="15.6" x14ac:dyDescent="0.3">
      <c r="AG559" s="1"/>
    </row>
    <row r="560" spans="33:33" ht="15.6" x14ac:dyDescent="0.3">
      <c r="AG560" s="1"/>
    </row>
    <row r="561" spans="33:33" ht="15.6" x14ac:dyDescent="0.3">
      <c r="AG561" s="1"/>
    </row>
    <row r="562" spans="33:33" ht="15.6" x14ac:dyDescent="0.3">
      <c r="AG562" s="1"/>
    </row>
    <row r="563" spans="33:33" ht="15.6" x14ac:dyDescent="0.3">
      <c r="AG563" s="1"/>
    </row>
    <row r="564" spans="33:33" ht="15.6" x14ac:dyDescent="0.3">
      <c r="AG564" s="1"/>
    </row>
    <row r="565" spans="33:33" ht="15.6" x14ac:dyDescent="0.3">
      <c r="AG565" s="1"/>
    </row>
    <row r="566" spans="33:33" ht="15.6" x14ac:dyDescent="0.3">
      <c r="AG566" s="1"/>
    </row>
    <row r="567" spans="33:33" ht="15.6" x14ac:dyDescent="0.3">
      <c r="AG567" s="1"/>
    </row>
    <row r="568" spans="33:33" ht="15.6" x14ac:dyDescent="0.3">
      <c r="AG568" s="1"/>
    </row>
    <row r="569" spans="33:33" ht="15.6" x14ac:dyDescent="0.3">
      <c r="AG569" s="1"/>
    </row>
    <row r="570" spans="33:33" ht="15.6" x14ac:dyDescent="0.3">
      <c r="AG570" s="1"/>
    </row>
    <row r="571" spans="33:33" ht="15.6" x14ac:dyDescent="0.3">
      <c r="AG571" s="1"/>
    </row>
    <row r="572" spans="33:33" ht="15.6" x14ac:dyDescent="0.3">
      <c r="AG572" s="1"/>
    </row>
    <row r="573" spans="33:33" ht="15.6" x14ac:dyDescent="0.3">
      <c r="AG573" s="1"/>
    </row>
    <row r="574" spans="33:33" ht="15.6" x14ac:dyDescent="0.3">
      <c r="AG574" s="1"/>
    </row>
    <row r="575" spans="33:33" ht="15.6" x14ac:dyDescent="0.3">
      <c r="AG575" s="1"/>
    </row>
    <row r="576" spans="33:33" ht="15.6" x14ac:dyDescent="0.3">
      <c r="AG576" s="1"/>
    </row>
    <row r="577" spans="33:33" ht="15.6" x14ac:dyDescent="0.3">
      <c r="AG577" s="1"/>
    </row>
    <row r="578" spans="33:33" ht="15.6" x14ac:dyDescent="0.3">
      <c r="AG578" s="1"/>
    </row>
    <row r="579" spans="33:33" ht="15.6" x14ac:dyDescent="0.3">
      <c r="AG579" s="1"/>
    </row>
    <row r="580" spans="33:33" ht="15.6" x14ac:dyDescent="0.3">
      <c r="AG580" s="1"/>
    </row>
    <row r="581" spans="33:33" ht="15.6" x14ac:dyDescent="0.3">
      <c r="AG581" s="1"/>
    </row>
    <row r="582" spans="33:33" ht="15.6" x14ac:dyDescent="0.3">
      <c r="AG582" s="1"/>
    </row>
    <row r="583" spans="33:33" ht="15.6" x14ac:dyDescent="0.3">
      <c r="AG583" s="1"/>
    </row>
    <row r="584" spans="33:33" ht="15.6" x14ac:dyDescent="0.3">
      <c r="AG584" s="1"/>
    </row>
    <row r="585" spans="33:33" ht="15.6" x14ac:dyDescent="0.3">
      <c r="AG585" s="1"/>
    </row>
    <row r="586" spans="33:33" ht="15.6" x14ac:dyDescent="0.3">
      <c r="AG586" s="1"/>
    </row>
    <row r="587" spans="33:33" ht="15.6" x14ac:dyDescent="0.3">
      <c r="AG587" s="1"/>
    </row>
    <row r="588" spans="33:33" ht="15.6" x14ac:dyDescent="0.3">
      <c r="AG588" s="1"/>
    </row>
    <row r="589" spans="33:33" ht="15.6" x14ac:dyDescent="0.3">
      <c r="AG589" s="1"/>
    </row>
    <row r="590" spans="33:33" ht="15.6" x14ac:dyDescent="0.3">
      <c r="AG590" s="1"/>
    </row>
    <row r="591" spans="33:33" ht="15.6" x14ac:dyDescent="0.3">
      <c r="AG591" s="1"/>
    </row>
    <row r="592" spans="33:33" ht="15.6" x14ac:dyDescent="0.3">
      <c r="AG592" s="1"/>
    </row>
    <row r="593" spans="33:33" ht="15.6" x14ac:dyDescent="0.3">
      <c r="AG593" s="1"/>
    </row>
    <row r="594" spans="33:33" ht="15.6" x14ac:dyDescent="0.3">
      <c r="AG594" s="1"/>
    </row>
    <row r="595" spans="33:33" ht="15.6" x14ac:dyDescent="0.3">
      <c r="AG595" s="1"/>
    </row>
    <row r="596" spans="33:33" ht="15.6" x14ac:dyDescent="0.3">
      <c r="AG596" s="1"/>
    </row>
    <row r="597" spans="33:33" ht="15.6" x14ac:dyDescent="0.3">
      <c r="AG597" s="1"/>
    </row>
    <row r="598" spans="33:33" ht="15.6" x14ac:dyDescent="0.3">
      <c r="AG598" s="1"/>
    </row>
    <row r="599" spans="33:33" ht="15.6" x14ac:dyDescent="0.3">
      <c r="AG599" s="1"/>
    </row>
    <row r="600" spans="33:33" ht="15.6" x14ac:dyDescent="0.3">
      <c r="AG600" s="1"/>
    </row>
    <row r="601" spans="33:33" ht="15.6" x14ac:dyDescent="0.3">
      <c r="AG601" s="1"/>
    </row>
    <row r="602" spans="33:33" ht="15.6" x14ac:dyDescent="0.3">
      <c r="AG602" s="1"/>
    </row>
    <row r="603" spans="33:33" ht="15.6" x14ac:dyDescent="0.3">
      <c r="AG603" s="1"/>
    </row>
    <row r="604" spans="33:33" ht="15.6" x14ac:dyDescent="0.3">
      <c r="AG604" s="1"/>
    </row>
    <row r="605" spans="33:33" ht="15.6" x14ac:dyDescent="0.3">
      <c r="AG605" s="1"/>
    </row>
    <row r="606" spans="33:33" ht="15.6" x14ac:dyDescent="0.3">
      <c r="AG606" s="1"/>
    </row>
    <row r="607" spans="33:33" ht="15.6" x14ac:dyDescent="0.3">
      <c r="AG607" s="1"/>
    </row>
    <row r="608" spans="33:33" ht="15.6" x14ac:dyDescent="0.3">
      <c r="AG608" s="1"/>
    </row>
    <row r="609" spans="33:33" ht="15.6" x14ac:dyDescent="0.3">
      <c r="AG609" s="1"/>
    </row>
    <row r="610" spans="33:33" ht="15.6" x14ac:dyDescent="0.3">
      <c r="AG610" s="1"/>
    </row>
    <row r="611" spans="33:33" ht="15.6" x14ac:dyDescent="0.3">
      <c r="AG611" s="1"/>
    </row>
    <row r="612" spans="33:33" ht="15.6" x14ac:dyDescent="0.3">
      <c r="AG612" s="1"/>
    </row>
    <row r="613" spans="33:33" ht="15.6" x14ac:dyDescent="0.3">
      <c r="AG613" s="1"/>
    </row>
    <row r="614" spans="33:33" ht="15.6" x14ac:dyDescent="0.3">
      <c r="AG614" s="1"/>
    </row>
    <row r="615" spans="33:33" ht="15.6" x14ac:dyDescent="0.3">
      <c r="AG615" s="1"/>
    </row>
    <row r="616" spans="33:33" ht="15.6" x14ac:dyDescent="0.3">
      <c r="AG616" s="1"/>
    </row>
    <row r="617" spans="33:33" ht="15.6" x14ac:dyDescent="0.3">
      <c r="AG617" s="1"/>
    </row>
    <row r="618" spans="33:33" ht="15.6" x14ac:dyDescent="0.3">
      <c r="AG618" s="1"/>
    </row>
    <row r="619" spans="33:33" ht="15.6" x14ac:dyDescent="0.3">
      <c r="AG619" s="1"/>
    </row>
    <row r="620" spans="33:33" ht="15.6" x14ac:dyDescent="0.3">
      <c r="AG620" s="1"/>
    </row>
    <row r="621" spans="33:33" ht="15.6" x14ac:dyDescent="0.3">
      <c r="AG621" s="1"/>
    </row>
    <row r="622" spans="33:33" ht="15.6" x14ac:dyDescent="0.3">
      <c r="AG622" s="1"/>
    </row>
    <row r="623" spans="33:33" ht="15.6" x14ac:dyDescent="0.3">
      <c r="AG623" s="1"/>
    </row>
    <row r="624" spans="33:33" ht="15.6" x14ac:dyDescent="0.3">
      <c r="AG624" s="1"/>
    </row>
    <row r="625" spans="33:33" ht="15.6" x14ac:dyDescent="0.3">
      <c r="AG625" s="1"/>
    </row>
    <row r="626" spans="33:33" ht="15.6" x14ac:dyDescent="0.3">
      <c r="AG626" s="1"/>
    </row>
    <row r="627" spans="33:33" ht="15.6" x14ac:dyDescent="0.3">
      <c r="AG627" s="1"/>
    </row>
    <row r="628" spans="33:33" ht="15.6" x14ac:dyDescent="0.3">
      <c r="AG628" s="1"/>
    </row>
    <row r="629" spans="33:33" ht="15.6" x14ac:dyDescent="0.3">
      <c r="AG629" s="1"/>
    </row>
    <row r="630" spans="33:33" ht="15.6" x14ac:dyDescent="0.3">
      <c r="AG630" s="1"/>
    </row>
    <row r="631" spans="33:33" ht="15.6" x14ac:dyDescent="0.3">
      <c r="AG631" s="1"/>
    </row>
    <row r="632" spans="33:33" ht="15.6" x14ac:dyDescent="0.3">
      <c r="AG632" s="1"/>
    </row>
    <row r="633" spans="33:33" ht="15.6" x14ac:dyDescent="0.3">
      <c r="AG633" s="1"/>
    </row>
    <row r="634" spans="33:33" ht="15.6" x14ac:dyDescent="0.3">
      <c r="AG634" s="1"/>
    </row>
    <row r="635" spans="33:33" ht="15.6" x14ac:dyDescent="0.3">
      <c r="AG635" s="1"/>
    </row>
    <row r="636" spans="33:33" ht="15.6" x14ac:dyDescent="0.3">
      <c r="AG636" s="1"/>
    </row>
    <row r="637" spans="33:33" ht="15.6" x14ac:dyDescent="0.3">
      <c r="AG637" s="1"/>
    </row>
    <row r="638" spans="33:33" ht="15.6" x14ac:dyDescent="0.3">
      <c r="AG638" s="1"/>
    </row>
    <row r="639" spans="33:33" ht="15.6" x14ac:dyDescent="0.3">
      <c r="AG639" s="1"/>
    </row>
    <row r="640" spans="33:33" ht="15.6" x14ac:dyDescent="0.3">
      <c r="AG640" s="1"/>
    </row>
    <row r="641" spans="33:33" ht="15.6" x14ac:dyDescent="0.3">
      <c r="AG641" s="1"/>
    </row>
    <row r="642" spans="33:33" ht="15.6" x14ac:dyDescent="0.3">
      <c r="AG642" s="1"/>
    </row>
    <row r="643" spans="33:33" ht="15.6" x14ac:dyDescent="0.3">
      <c r="AG643" s="1"/>
    </row>
    <row r="644" spans="33:33" ht="15.6" x14ac:dyDescent="0.3">
      <c r="AG644" s="1"/>
    </row>
    <row r="645" spans="33:33" ht="15.6" x14ac:dyDescent="0.3">
      <c r="AG645" s="1"/>
    </row>
    <row r="646" spans="33:33" ht="15.6" x14ac:dyDescent="0.3">
      <c r="AG646" s="1"/>
    </row>
    <row r="647" spans="33:33" ht="15.6" x14ac:dyDescent="0.3">
      <c r="AG647" s="1"/>
    </row>
    <row r="648" spans="33:33" ht="15.6" x14ac:dyDescent="0.3">
      <c r="AG648" s="1"/>
    </row>
    <row r="649" spans="33:33" ht="15.6" x14ac:dyDescent="0.3">
      <c r="AG649" s="1"/>
    </row>
    <row r="650" spans="33:33" ht="15.6" x14ac:dyDescent="0.3">
      <c r="AG650" s="1"/>
    </row>
    <row r="651" spans="33:33" ht="15.6" x14ac:dyDescent="0.3">
      <c r="AG651" s="1"/>
    </row>
    <row r="652" spans="33:33" ht="15.6" x14ac:dyDescent="0.3">
      <c r="AG652" s="1"/>
    </row>
    <row r="653" spans="33:33" ht="15.6" x14ac:dyDescent="0.3">
      <c r="AG653" s="1"/>
    </row>
    <row r="654" spans="33:33" ht="15.6" x14ac:dyDescent="0.3">
      <c r="AG654" s="1"/>
    </row>
    <row r="655" spans="33:33" ht="15.6" x14ac:dyDescent="0.3">
      <c r="AG655" s="1"/>
    </row>
    <row r="656" spans="33:33" ht="15.6" x14ac:dyDescent="0.3">
      <c r="AG656" s="1"/>
    </row>
    <row r="657" spans="33:33" ht="15.6" x14ac:dyDescent="0.3">
      <c r="AG657" s="1"/>
    </row>
    <row r="658" spans="33:33" ht="15.6" x14ac:dyDescent="0.3">
      <c r="AG658" s="1"/>
    </row>
    <row r="659" spans="33:33" ht="15.6" x14ac:dyDescent="0.3">
      <c r="AG659" s="1"/>
    </row>
    <row r="660" spans="33:33" ht="15.6" x14ac:dyDescent="0.3">
      <c r="AG660" s="1"/>
    </row>
    <row r="661" spans="33:33" ht="15.6" x14ac:dyDescent="0.3">
      <c r="AG661" s="1"/>
    </row>
    <row r="662" spans="33:33" ht="15.6" x14ac:dyDescent="0.3">
      <c r="AG662" s="1"/>
    </row>
    <row r="663" spans="33:33" ht="15.6" x14ac:dyDescent="0.3">
      <c r="AG663" s="1"/>
    </row>
    <row r="664" spans="33:33" ht="15.6" x14ac:dyDescent="0.3">
      <c r="AG664" s="1"/>
    </row>
    <row r="665" spans="33:33" ht="15.6" x14ac:dyDescent="0.3">
      <c r="AG665" s="1"/>
    </row>
    <row r="666" spans="33:33" ht="15.6" x14ac:dyDescent="0.3">
      <c r="AG666" s="1"/>
    </row>
    <row r="667" spans="33:33" ht="15.6" x14ac:dyDescent="0.3">
      <c r="AG667" s="1"/>
    </row>
    <row r="668" spans="33:33" ht="15.6" x14ac:dyDescent="0.3">
      <c r="AG668" s="1"/>
    </row>
    <row r="669" spans="33:33" ht="15.6" x14ac:dyDescent="0.3">
      <c r="AG669" s="1"/>
    </row>
    <row r="670" spans="33:33" ht="15.6" x14ac:dyDescent="0.3">
      <c r="AG670" s="1"/>
    </row>
    <row r="671" spans="33:33" ht="15.6" x14ac:dyDescent="0.3">
      <c r="AG671" s="1"/>
    </row>
    <row r="672" spans="33:33" ht="15.6" x14ac:dyDescent="0.3">
      <c r="AG672" s="1"/>
    </row>
    <row r="673" spans="33:33" ht="15.6" x14ac:dyDescent="0.3">
      <c r="AG673" s="1"/>
    </row>
    <row r="674" spans="33:33" ht="15.6" x14ac:dyDescent="0.3">
      <c r="AG674" s="1"/>
    </row>
    <row r="675" spans="33:33" ht="15.6" x14ac:dyDescent="0.3">
      <c r="AG675" s="1"/>
    </row>
    <row r="676" spans="33:33" ht="15.6" x14ac:dyDescent="0.3">
      <c r="AG676" s="1"/>
    </row>
    <row r="677" spans="33:33" ht="15.6" x14ac:dyDescent="0.3">
      <c r="AG677" s="1"/>
    </row>
    <row r="678" spans="33:33" ht="15.6" x14ac:dyDescent="0.3">
      <c r="AG678" s="1"/>
    </row>
    <row r="679" spans="33:33" ht="15.6" x14ac:dyDescent="0.3">
      <c r="AG679" s="1"/>
    </row>
    <row r="680" spans="33:33" ht="15.6" x14ac:dyDescent="0.3">
      <c r="AG680" s="1"/>
    </row>
    <row r="681" spans="33:33" ht="15.6" x14ac:dyDescent="0.3">
      <c r="AG681" s="1"/>
    </row>
    <row r="682" spans="33:33" ht="15.6" x14ac:dyDescent="0.3">
      <c r="AG682" s="1"/>
    </row>
    <row r="683" spans="33:33" ht="15.6" x14ac:dyDescent="0.3">
      <c r="AG683" s="1"/>
    </row>
    <row r="684" spans="33:33" ht="15.6" x14ac:dyDescent="0.3">
      <c r="AG684" s="1"/>
    </row>
    <row r="685" spans="33:33" ht="15.6" x14ac:dyDescent="0.3">
      <c r="AG685" s="1"/>
    </row>
    <row r="686" spans="33:33" ht="15.6" x14ac:dyDescent="0.3">
      <c r="AG686" s="1"/>
    </row>
    <row r="687" spans="33:33" ht="15.6" x14ac:dyDescent="0.3">
      <c r="AG687" s="1"/>
    </row>
    <row r="688" spans="33:33" ht="15.6" x14ac:dyDescent="0.3">
      <c r="AG688" s="1"/>
    </row>
    <row r="689" spans="33:33" ht="15.6" x14ac:dyDescent="0.3">
      <c r="AG689" s="1"/>
    </row>
    <row r="690" spans="33:33" ht="15.6" x14ac:dyDescent="0.3">
      <c r="AG690" s="1"/>
    </row>
    <row r="691" spans="33:33" ht="15.6" x14ac:dyDescent="0.3">
      <c r="AG691" s="1"/>
    </row>
    <row r="692" spans="33:33" ht="15.6" x14ac:dyDescent="0.3">
      <c r="AG692" s="1"/>
    </row>
    <row r="693" spans="33:33" ht="15.6" x14ac:dyDescent="0.3">
      <c r="AG693" s="1"/>
    </row>
    <row r="694" spans="33:33" ht="15.6" x14ac:dyDescent="0.3">
      <c r="AG694" s="1"/>
    </row>
    <row r="695" spans="33:33" ht="15.6" x14ac:dyDescent="0.3">
      <c r="AG695" s="1"/>
    </row>
    <row r="696" spans="33:33" ht="15.6" x14ac:dyDescent="0.3">
      <c r="AG696" s="1"/>
    </row>
    <row r="697" spans="33:33" ht="15.6" x14ac:dyDescent="0.3">
      <c r="AG697" s="1"/>
    </row>
    <row r="698" spans="33:33" ht="15.6" x14ac:dyDescent="0.3">
      <c r="AG698" s="1"/>
    </row>
    <row r="699" spans="33:33" ht="15.6" x14ac:dyDescent="0.3">
      <c r="AG699" s="1"/>
    </row>
    <row r="700" spans="33:33" ht="15.6" x14ac:dyDescent="0.3">
      <c r="AG700" s="1"/>
    </row>
    <row r="701" spans="33:33" ht="15.6" x14ac:dyDescent="0.3">
      <c r="AG701" s="1"/>
    </row>
    <row r="702" spans="33:33" ht="15.6" x14ac:dyDescent="0.3">
      <c r="AG702" s="1"/>
    </row>
    <row r="703" spans="33:33" ht="15.6" x14ac:dyDescent="0.3">
      <c r="AG703" s="1"/>
    </row>
    <row r="704" spans="33:33" ht="15.6" x14ac:dyDescent="0.3">
      <c r="AG704" s="1"/>
    </row>
    <row r="705" spans="33:33" ht="15.6" x14ac:dyDescent="0.3">
      <c r="AG705" s="1"/>
    </row>
    <row r="706" spans="33:33" ht="15.6" x14ac:dyDescent="0.3">
      <c r="AG706" s="1"/>
    </row>
    <row r="707" spans="33:33" ht="15.6" x14ac:dyDescent="0.3">
      <c r="AG707" s="1"/>
    </row>
    <row r="708" spans="33:33" ht="15.6" x14ac:dyDescent="0.3">
      <c r="AG708" s="1"/>
    </row>
    <row r="709" spans="33:33" ht="15.6" x14ac:dyDescent="0.3">
      <c r="AG709" s="1"/>
    </row>
    <row r="710" spans="33:33" ht="15.6" x14ac:dyDescent="0.3">
      <c r="AG710" s="1"/>
    </row>
    <row r="711" spans="33:33" ht="15.6" x14ac:dyDescent="0.3">
      <c r="AG711" s="1"/>
    </row>
    <row r="712" spans="33:33" ht="15.6" x14ac:dyDescent="0.3">
      <c r="AG712" s="1"/>
    </row>
    <row r="713" spans="33:33" ht="15.6" x14ac:dyDescent="0.3">
      <c r="AG713" s="1"/>
    </row>
    <row r="714" spans="33:33" ht="15.6" x14ac:dyDescent="0.3">
      <c r="AG714" s="1"/>
    </row>
    <row r="715" spans="33:33" ht="15.6" x14ac:dyDescent="0.3">
      <c r="AG715" s="1"/>
    </row>
    <row r="716" spans="33:33" ht="15.6" x14ac:dyDescent="0.3">
      <c r="AG716" s="1"/>
    </row>
    <row r="717" spans="33:33" ht="15.6" x14ac:dyDescent="0.3">
      <c r="AG717" s="1"/>
    </row>
    <row r="718" spans="33:33" ht="15.6" x14ac:dyDescent="0.3">
      <c r="AG718" s="1"/>
    </row>
    <row r="719" spans="33:33" ht="15.6" x14ac:dyDescent="0.3">
      <c r="AG719" s="1"/>
    </row>
    <row r="720" spans="33:33" ht="15.6" x14ac:dyDescent="0.3">
      <c r="AG720" s="1"/>
    </row>
    <row r="721" spans="33:33" ht="15.6" x14ac:dyDescent="0.3">
      <c r="AG721" s="1"/>
    </row>
    <row r="722" spans="33:33" ht="15.6" x14ac:dyDescent="0.3">
      <c r="AG722" s="1"/>
    </row>
    <row r="723" spans="33:33" ht="15.6" x14ac:dyDescent="0.3">
      <c r="AG723" s="1"/>
    </row>
    <row r="724" spans="33:33" ht="15.6" x14ac:dyDescent="0.3">
      <c r="AG724" s="1"/>
    </row>
    <row r="725" spans="33:33" ht="15.6" x14ac:dyDescent="0.3">
      <c r="AG725" s="1"/>
    </row>
    <row r="726" spans="33:33" ht="15.6" x14ac:dyDescent="0.3">
      <c r="AG726" s="1"/>
    </row>
    <row r="727" spans="33:33" ht="15.6" x14ac:dyDescent="0.3">
      <c r="AG727" s="1"/>
    </row>
    <row r="728" spans="33:33" ht="15.6" x14ac:dyDescent="0.3">
      <c r="AG728" s="1"/>
    </row>
    <row r="729" spans="33:33" ht="15.6" x14ac:dyDescent="0.3">
      <c r="AG729" s="1"/>
    </row>
    <row r="730" spans="33:33" ht="15.6" x14ac:dyDescent="0.3">
      <c r="AG730" s="1"/>
    </row>
    <row r="731" spans="33:33" ht="15.6" x14ac:dyDescent="0.3">
      <c r="AG731" s="1"/>
    </row>
    <row r="732" spans="33:33" ht="15.6" x14ac:dyDescent="0.3">
      <c r="AG732" s="1"/>
    </row>
    <row r="733" spans="33:33" ht="15.6" x14ac:dyDescent="0.3">
      <c r="AG733" s="1"/>
    </row>
    <row r="734" spans="33:33" ht="15.6" x14ac:dyDescent="0.3">
      <c r="AG734" s="1"/>
    </row>
    <row r="735" spans="33:33" ht="15.6" x14ac:dyDescent="0.3">
      <c r="AG735" s="1"/>
    </row>
    <row r="736" spans="33:33" ht="15.6" x14ac:dyDescent="0.3">
      <c r="AG736" s="1"/>
    </row>
    <row r="737" spans="33:33" ht="15.6" x14ac:dyDescent="0.3">
      <c r="AG737" s="1"/>
    </row>
    <row r="738" spans="33:33" ht="15.6" x14ac:dyDescent="0.3">
      <c r="AG738" s="1"/>
    </row>
    <row r="739" spans="33:33" ht="15.6" x14ac:dyDescent="0.3">
      <c r="AG739" s="1"/>
    </row>
    <row r="740" spans="33:33" ht="15.6" x14ac:dyDescent="0.3">
      <c r="AG740" s="1"/>
    </row>
    <row r="741" spans="33:33" ht="15.6" x14ac:dyDescent="0.3">
      <c r="AG741" s="1"/>
    </row>
    <row r="742" spans="33:33" ht="15.6" x14ac:dyDescent="0.3">
      <c r="AG742" s="1"/>
    </row>
    <row r="743" spans="33:33" ht="15.6" x14ac:dyDescent="0.3">
      <c r="AG743" s="1"/>
    </row>
    <row r="744" spans="33:33" ht="15.6" x14ac:dyDescent="0.3">
      <c r="AG744" s="1"/>
    </row>
    <row r="745" spans="33:33" ht="15.6" x14ac:dyDescent="0.3">
      <c r="AG745" s="1"/>
    </row>
    <row r="746" spans="33:33" ht="15.6" x14ac:dyDescent="0.3">
      <c r="AG746" s="1"/>
    </row>
    <row r="747" spans="33:33" ht="15.6" x14ac:dyDescent="0.3">
      <c r="AG747" s="1"/>
    </row>
    <row r="748" spans="33:33" ht="15.6" x14ac:dyDescent="0.3">
      <c r="AG748" s="1"/>
    </row>
    <row r="749" spans="33:33" ht="15.6" x14ac:dyDescent="0.3">
      <c r="AG749" s="1"/>
    </row>
    <row r="750" spans="33:33" ht="15.6" x14ac:dyDescent="0.3">
      <c r="AG750" s="1"/>
    </row>
    <row r="751" spans="33:33" ht="15.6" x14ac:dyDescent="0.3">
      <c r="AG751" s="1"/>
    </row>
    <row r="752" spans="33:33" ht="15.6" x14ac:dyDescent="0.3">
      <c r="AG752" s="1"/>
    </row>
    <row r="753" spans="33:33" ht="15.6" x14ac:dyDescent="0.3">
      <c r="AG753" s="1"/>
    </row>
    <row r="754" spans="33:33" ht="15.6" x14ac:dyDescent="0.3">
      <c r="AG754" s="1"/>
    </row>
    <row r="755" spans="33:33" ht="15.6" x14ac:dyDescent="0.3">
      <c r="AG755" s="1"/>
    </row>
    <row r="756" spans="33:33" ht="15.6" x14ac:dyDescent="0.3">
      <c r="AG756" s="1"/>
    </row>
    <row r="757" spans="33:33" ht="15.6" x14ac:dyDescent="0.3">
      <c r="AG757" s="1"/>
    </row>
    <row r="758" spans="33:33" ht="15.6" x14ac:dyDescent="0.3">
      <c r="AG758" s="1"/>
    </row>
    <row r="759" spans="33:33" ht="15.6" x14ac:dyDescent="0.3">
      <c r="AG759" s="1"/>
    </row>
    <row r="760" spans="33:33" ht="15.6" x14ac:dyDescent="0.3">
      <c r="AG760" s="1"/>
    </row>
    <row r="761" spans="33:33" ht="15.6" x14ac:dyDescent="0.3">
      <c r="AG761" s="1"/>
    </row>
    <row r="762" spans="33:33" ht="15.6" x14ac:dyDescent="0.3">
      <c r="AG762" s="1"/>
    </row>
    <row r="763" spans="33:33" ht="15.6" x14ac:dyDescent="0.3">
      <c r="AG763" s="1"/>
    </row>
    <row r="764" spans="33:33" ht="15.6" x14ac:dyDescent="0.3">
      <c r="AG764" s="1"/>
    </row>
    <row r="765" spans="33:33" ht="15.6" x14ac:dyDescent="0.3">
      <c r="AG765" s="1"/>
    </row>
    <row r="766" spans="33:33" ht="15.6" x14ac:dyDescent="0.3">
      <c r="AG766" s="1"/>
    </row>
    <row r="767" spans="33:33" ht="15.6" x14ac:dyDescent="0.3">
      <c r="AG767" s="1"/>
    </row>
    <row r="768" spans="33:33" ht="15.6" x14ac:dyDescent="0.3">
      <c r="AG768" s="1"/>
    </row>
    <row r="769" spans="33:33" ht="15.6" x14ac:dyDescent="0.3">
      <c r="AG769" s="1"/>
    </row>
    <row r="770" spans="33:33" ht="15.6" x14ac:dyDescent="0.3">
      <c r="AG770" s="1"/>
    </row>
    <row r="771" spans="33:33" ht="15.6" x14ac:dyDescent="0.3">
      <c r="AG771" s="1"/>
    </row>
    <row r="772" spans="33:33" ht="15.6" x14ac:dyDescent="0.3">
      <c r="AG772" s="1"/>
    </row>
    <row r="773" spans="33:33" ht="15.6" x14ac:dyDescent="0.3">
      <c r="AG773" s="1"/>
    </row>
    <row r="774" spans="33:33" ht="15.6" x14ac:dyDescent="0.3">
      <c r="AG774" s="1"/>
    </row>
    <row r="775" spans="33:33" ht="15.6" x14ac:dyDescent="0.3">
      <c r="AG775" s="1"/>
    </row>
    <row r="776" spans="33:33" ht="15.6" x14ac:dyDescent="0.3">
      <c r="AG776" s="1"/>
    </row>
    <row r="777" spans="33:33" ht="15.6" x14ac:dyDescent="0.3">
      <c r="AG777" s="1"/>
    </row>
    <row r="778" spans="33:33" ht="15.6" x14ac:dyDescent="0.3">
      <c r="AG778" s="1"/>
    </row>
    <row r="779" spans="33:33" ht="15.6" x14ac:dyDescent="0.3">
      <c r="AG779" s="1"/>
    </row>
    <row r="780" spans="33:33" ht="15.6" x14ac:dyDescent="0.3">
      <c r="AG780" s="1"/>
    </row>
    <row r="781" spans="33:33" ht="15.6" x14ac:dyDescent="0.3">
      <c r="AG781" s="1"/>
    </row>
    <row r="782" spans="33:33" ht="15.6" x14ac:dyDescent="0.3">
      <c r="AG782" s="1"/>
    </row>
    <row r="783" spans="33:33" ht="15.6" x14ac:dyDescent="0.3">
      <c r="AG783" s="1"/>
    </row>
    <row r="784" spans="33:33" ht="15.6" x14ac:dyDescent="0.3">
      <c r="AG784" s="1"/>
    </row>
    <row r="785" spans="33:33" ht="15.6" x14ac:dyDescent="0.3">
      <c r="AG785" s="1"/>
    </row>
    <row r="786" spans="33:33" ht="15.6" x14ac:dyDescent="0.3">
      <c r="AG786" s="1"/>
    </row>
    <row r="787" spans="33:33" ht="15.6" x14ac:dyDescent="0.3">
      <c r="AG787" s="1"/>
    </row>
    <row r="788" spans="33:33" ht="15.6" x14ac:dyDescent="0.3">
      <c r="AG788" s="1"/>
    </row>
    <row r="789" spans="33:33" ht="15.6" x14ac:dyDescent="0.3">
      <c r="AG789" s="1"/>
    </row>
    <row r="790" spans="33:33" ht="15.6" x14ac:dyDescent="0.3">
      <c r="AG790" s="1"/>
    </row>
    <row r="791" spans="33:33" ht="15.6" x14ac:dyDescent="0.3">
      <c r="AG791" s="1"/>
    </row>
    <row r="792" spans="33:33" ht="15.6" x14ac:dyDescent="0.3">
      <c r="AG792" s="1"/>
    </row>
    <row r="793" spans="33:33" ht="15.6" x14ac:dyDescent="0.3">
      <c r="AG793" s="1"/>
    </row>
    <row r="794" spans="33:33" ht="15.6" x14ac:dyDescent="0.3">
      <c r="AG794" s="1"/>
    </row>
    <row r="795" spans="33:33" ht="15.6" x14ac:dyDescent="0.3">
      <c r="AG795" s="1"/>
    </row>
    <row r="796" spans="33:33" ht="15.6" x14ac:dyDescent="0.3">
      <c r="AG796" s="1"/>
    </row>
    <row r="797" spans="33:33" ht="15.6" x14ac:dyDescent="0.3">
      <c r="AG797" s="1"/>
    </row>
    <row r="798" spans="33:33" ht="15.6" x14ac:dyDescent="0.3">
      <c r="AG798" s="1"/>
    </row>
    <row r="799" spans="33:33" ht="15.6" x14ac:dyDescent="0.3">
      <c r="AG799" s="1"/>
    </row>
    <row r="800" spans="33:33" ht="15.6" x14ac:dyDescent="0.3">
      <c r="AG800" s="1"/>
    </row>
    <row r="801" spans="33:33" ht="15.6" x14ac:dyDescent="0.3">
      <c r="AG801" s="1"/>
    </row>
    <row r="802" spans="33:33" ht="15.6" x14ac:dyDescent="0.3">
      <c r="AG802" s="1"/>
    </row>
    <row r="803" spans="33:33" ht="15.6" x14ac:dyDescent="0.3">
      <c r="AG803" s="1"/>
    </row>
    <row r="804" spans="33:33" ht="15.6" x14ac:dyDescent="0.3">
      <c r="AG804" s="1"/>
    </row>
    <row r="805" spans="33:33" ht="15.6" x14ac:dyDescent="0.3">
      <c r="AG805" s="1"/>
    </row>
    <row r="806" spans="33:33" ht="15.6" x14ac:dyDescent="0.3">
      <c r="AG806" s="1"/>
    </row>
    <row r="807" spans="33:33" ht="15.6" x14ac:dyDescent="0.3">
      <c r="AG807" s="1"/>
    </row>
    <row r="808" spans="33:33" ht="15.6" x14ac:dyDescent="0.3">
      <c r="AG808" s="1"/>
    </row>
    <row r="809" spans="33:33" ht="15.6" x14ac:dyDescent="0.3">
      <c r="AG809" s="1"/>
    </row>
    <row r="810" spans="33:33" ht="15.6" x14ac:dyDescent="0.3">
      <c r="AG810" s="1"/>
    </row>
    <row r="811" spans="33:33" ht="15.6" x14ac:dyDescent="0.3">
      <c r="AG811" s="1"/>
    </row>
    <row r="812" spans="33:33" ht="15.6" x14ac:dyDescent="0.3">
      <c r="AG812" s="1"/>
    </row>
    <row r="813" spans="33:33" ht="15.6" x14ac:dyDescent="0.3">
      <c r="AG813" s="1"/>
    </row>
    <row r="814" spans="33:33" ht="15.6" x14ac:dyDescent="0.3">
      <c r="AG814" s="1"/>
    </row>
    <row r="815" spans="33:33" ht="15.6" x14ac:dyDescent="0.3">
      <c r="AG815" s="1"/>
    </row>
    <row r="816" spans="33:33" ht="15.6" x14ac:dyDescent="0.3">
      <c r="AG816" s="1"/>
    </row>
    <row r="817" spans="33:33" ht="15.6" x14ac:dyDescent="0.3">
      <c r="AG817" s="1"/>
    </row>
    <row r="818" spans="33:33" ht="15.6" x14ac:dyDescent="0.3">
      <c r="AG818" s="1"/>
    </row>
    <row r="819" spans="33:33" ht="15.6" x14ac:dyDescent="0.3">
      <c r="AG819" s="1"/>
    </row>
    <row r="820" spans="33:33" ht="15.6" x14ac:dyDescent="0.3">
      <c r="AG820" s="1"/>
    </row>
    <row r="821" spans="33:33" ht="15.6" x14ac:dyDescent="0.3">
      <c r="AG821" s="1"/>
    </row>
    <row r="822" spans="33:33" ht="15.6" x14ac:dyDescent="0.3">
      <c r="AG822" s="1"/>
    </row>
    <row r="823" spans="33:33" ht="15.6" x14ac:dyDescent="0.3">
      <c r="AG823" s="1"/>
    </row>
    <row r="824" spans="33:33" ht="15.6" x14ac:dyDescent="0.3">
      <c r="AG824" s="1"/>
    </row>
    <row r="825" spans="33:33" ht="15.6" x14ac:dyDescent="0.3">
      <c r="AG825" s="1"/>
    </row>
    <row r="826" spans="33:33" ht="15.6" x14ac:dyDescent="0.3">
      <c r="AG826" s="1"/>
    </row>
    <row r="827" spans="33:33" ht="15.6" x14ac:dyDescent="0.3">
      <c r="AG827" s="1"/>
    </row>
    <row r="828" spans="33:33" ht="15.6" x14ac:dyDescent="0.3">
      <c r="AG828" s="1"/>
    </row>
    <row r="829" spans="33:33" ht="15.6" x14ac:dyDescent="0.3">
      <c r="AG829" s="1"/>
    </row>
    <row r="830" spans="33:33" ht="15.6" x14ac:dyDescent="0.3">
      <c r="AG830" s="1"/>
    </row>
    <row r="831" spans="33:33" ht="15.6" x14ac:dyDescent="0.3">
      <c r="AG831" s="1"/>
    </row>
    <row r="832" spans="33:33" ht="15.6" x14ac:dyDescent="0.3">
      <c r="AG832" s="1"/>
    </row>
    <row r="833" spans="33:33" ht="15.6" x14ac:dyDescent="0.3">
      <c r="AG833" s="1"/>
    </row>
    <row r="834" spans="33:33" ht="15.6" x14ac:dyDescent="0.3">
      <c r="AG834" s="1"/>
    </row>
    <row r="835" spans="33:33" ht="15.6" x14ac:dyDescent="0.3">
      <c r="AG835" s="1"/>
    </row>
    <row r="836" spans="33:33" ht="15.6" x14ac:dyDescent="0.3">
      <c r="AG836" s="1"/>
    </row>
    <row r="837" spans="33:33" ht="15.6" x14ac:dyDescent="0.3">
      <c r="AG837" s="1"/>
    </row>
    <row r="838" spans="33:33" ht="15.6" x14ac:dyDescent="0.3">
      <c r="AG838" s="1"/>
    </row>
    <row r="839" spans="33:33" ht="15.6" x14ac:dyDescent="0.3">
      <c r="AG839" s="1"/>
    </row>
    <row r="840" spans="33:33" ht="15.6" x14ac:dyDescent="0.3">
      <c r="AG840" s="1"/>
    </row>
    <row r="841" spans="33:33" ht="15.6" x14ac:dyDescent="0.3">
      <c r="AG841" s="1"/>
    </row>
    <row r="842" spans="33:33" ht="15.6" x14ac:dyDescent="0.3">
      <c r="AG842" s="1"/>
    </row>
    <row r="843" spans="33:33" ht="15.6" x14ac:dyDescent="0.3">
      <c r="AG843" s="1"/>
    </row>
    <row r="844" spans="33:33" ht="15.6" x14ac:dyDescent="0.3">
      <c r="AG844" s="1"/>
    </row>
    <row r="845" spans="33:33" ht="15.6" x14ac:dyDescent="0.3">
      <c r="AG845" s="1"/>
    </row>
    <row r="846" spans="33:33" ht="15.6" x14ac:dyDescent="0.3">
      <c r="AG846" s="1"/>
    </row>
    <row r="847" spans="33:33" ht="15.6" x14ac:dyDescent="0.3">
      <c r="AG847" s="1"/>
    </row>
    <row r="848" spans="33:33" ht="15.6" x14ac:dyDescent="0.3">
      <c r="AG848" s="1"/>
    </row>
    <row r="849" spans="33:33" ht="15.6" x14ac:dyDescent="0.3">
      <c r="AG849" s="1"/>
    </row>
    <row r="850" spans="33:33" ht="15.6" x14ac:dyDescent="0.3">
      <c r="AG850" s="1"/>
    </row>
    <row r="851" spans="33:33" ht="15.6" x14ac:dyDescent="0.3">
      <c r="AG851" s="1"/>
    </row>
    <row r="852" spans="33:33" ht="15.6" x14ac:dyDescent="0.3">
      <c r="AG852" s="1"/>
    </row>
    <row r="853" spans="33:33" ht="15.6" x14ac:dyDescent="0.3">
      <c r="AG853" s="1"/>
    </row>
    <row r="854" spans="33:33" ht="15.6" x14ac:dyDescent="0.3">
      <c r="AG854" s="1"/>
    </row>
    <row r="855" spans="33:33" ht="15.6" x14ac:dyDescent="0.3">
      <c r="AG855" s="1"/>
    </row>
    <row r="856" spans="33:33" ht="15.6" x14ac:dyDescent="0.3">
      <c r="AG856" s="1"/>
    </row>
    <row r="857" spans="33:33" ht="15.6" x14ac:dyDescent="0.3">
      <c r="AG857" s="1"/>
    </row>
    <row r="858" spans="33:33" ht="15.6" x14ac:dyDescent="0.3">
      <c r="AG858" s="1"/>
    </row>
    <row r="859" spans="33:33" ht="15.6" x14ac:dyDescent="0.3">
      <c r="AG859" s="1"/>
    </row>
    <row r="860" spans="33:33" ht="15.6" x14ac:dyDescent="0.3">
      <c r="AG860" s="1"/>
    </row>
    <row r="861" spans="33:33" ht="15.6" x14ac:dyDescent="0.3">
      <c r="AG861" s="1"/>
    </row>
    <row r="862" spans="33:33" ht="15.6" x14ac:dyDescent="0.3">
      <c r="AG862" s="1"/>
    </row>
    <row r="863" spans="33:33" ht="15.6" x14ac:dyDescent="0.3">
      <c r="AG863" s="1"/>
    </row>
    <row r="864" spans="33:33" ht="15.6" x14ac:dyDescent="0.3">
      <c r="AG864" s="1"/>
    </row>
    <row r="865" spans="33:33" ht="15.6" x14ac:dyDescent="0.3">
      <c r="AG865" s="1"/>
    </row>
    <row r="866" spans="33:33" ht="15.6" x14ac:dyDescent="0.3">
      <c r="AG866" s="1"/>
    </row>
    <row r="867" spans="33:33" ht="15.6" x14ac:dyDescent="0.3">
      <c r="AG867" s="1"/>
    </row>
    <row r="868" spans="33:33" ht="15.6" x14ac:dyDescent="0.3">
      <c r="AG868" s="1"/>
    </row>
    <row r="869" spans="33:33" ht="15.6" x14ac:dyDescent="0.3">
      <c r="AG869" s="1"/>
    </row>
    <row r="870" spans="33:33" ht="15.6" x14ac:dyDescent="0.3">
      <c r="AG870" s="1"/>
    </row>
    <row r="871" spans="33:33" ht="15.6" x14ac:dyDescent="0.3">
      <c r="AG871" s="1"/>
    </row>
    <row r="872" spans="33:33" ht="15.6" x14ac:dyDescent="0.3">
      <c r="AG872" s="1"/>
    </row>
    <row r="873" spans="33:33" ht="15.6" x14ac:dyDescent="0.3">
      <c r="AG873" s="1"/>
    </row>
    <row r="874" spans="33:33" ht="15.6" x14ac:dyDescent="0.3">
      <c r="AG874" s="1"/>
    </row>
    <row r="875" spans="33:33" ht="15.6" x14ac:dyDescent="0.3">
      <c r="AG875" s="1"/>
    </row>
    <row r="876" spans="33:33" ht="15.6" x14ac:dyDescent="0.3">
      <c r="AG876" s="1"/>
    </row>
    <row r="877" spans="33:33" ht="15.6" x14ac:dyDescent="0.3">
      <c r="AG877" s="1"/>
    </row>
    <row r="878" spans="33:33" ht="15.6" x14ac:dyDescent="0.3">
      <c r="AG878" s="1"/>
    </row>
    <row r="879" spans="33:33" ht="15.6" x14ac:dyDescent="0.3">
      <c r="AG879" s="1"/>
    </row>
    <row r="880" spans="33:33" ht="15.6" x14ac:dyDescent="0.3">
      <c r="AG880" s="1"/>
    </row>
    <row r="881" spans="33:33" ht="15.6" x14ac:dyDescent="0.3">
      <c r="AG881" s="1"/>
    </row>
    <row r="882" spans="33:33" ht="15.6" x14ac:dyDescent="0.3">
      <c r="AG882" s="1"/>
    </row>
    <row r="883" spans="33:33" ht="15.6" x14ac:dyDescent="0.3">
      <c r="AG883" s="1"/>
    </row>
    <row r="884" spans="33:33" ht="15.6" x14ac:dyDescent="0.3">
      <c r="AG884" s="1"/>
    </row>
    <row r="885" spans="33:33" ht="15.6" x14ac:dyDescent="0.3">
      <c r="AG885" s="1"/>
    </row>
    <row r="886" spans="33:33" ht="15.6" x14ac:dyDescent="0.3">
      <c r="AG886" s="1"/>
    </row>
    <row r="887" spans="33:33" ht="15.6" x14ac:dyDescent="0.3">
      <c r="AG887" s="1"/>
    </row>
    <row r="888" spans="33:33" ht="15.6" x14ac:dyDescent="0.3">
      <c r="AG888" s="1"/>
    </row>
    <row r="889" spans="33:33" ht="15.6" x14ac:dyDescent="0.3">
      <c r="AG889" s="1"/>
    </row>
    <row r="890" spans="33:33" ht="15.6" x14ac:dyDescent="0.3">
      <c r="AG890" s="1"/>
    </row>
    <row r="891" spans="33:33" ht="15.6" x14ac:dyDescent="0.3">
      <c r="AG891" s="1"/>
    </row>
    <row r="892" spans="33:33" ht="15.6" x14ac:dyDescent="0.3">
      <c r="AG892" s="1"/>
    </row>
    <row r="893" spans="33:33" ht="15.6" x14ac:dyDescent="0.3">
      <c r="AG893" s="1"/>
    </row>
    <row r="894" spans="33:33" ht="15.6" x14ac:dyDescent="0.3">
      <c r="AG894" s="1"/>
    </row>
    <row r="895" spans="33:33" ht="15.6" x14ac:dyDescent="0.3">
      <c r="AG895" s="1"/>
    </row>
    <row r="896" spans="33:33" ht="15.6" x14ac:dyDescent="0.3">
      <c r="AG896" s="1"/>
    </row>
    <row r="897" spans="33:33" ht="15.6" x14ac:dyDescent="0.3">
      <c r="AG897" s="1"/>
    </row>
    <row r="898" spans="33:33" ht="15.6" x14ac:dyDescent="0.3">
      <c r="AG898" s="1"/>
    </row>
    <row r="899" spans="33:33" ht="15.6" x14ac:dyDescent="0.3">
      <c r="AG899" s="1"/>
    </row>
    <row r="900" spans="33:33" ht="15.6" x14ac:dyDescent="0.3">
      <c r="AG900" s="1"/>
    </row>
    <row r="901" spans="33:33" ht="15.6" x14ac:dyDescent="0.3">
      <c r="AG901" s="1"/>
    </row>
    <row r="902" spans="33:33" ht="15.6" x14ac:dyDescent="0.3">
      <c r="AG902" s="1"/>
    </row>
    <row r="903" spans="33:33" ht="15.6" x14ac:dyDescent="0.3">
      <c r="AG903" s="1"/>
    </row>
    <row r="904" spans="33:33" ht="15.6" x14ac:dyDescent="0.3">
      <c r="AG904" s="1"/>
    </row>
    <row r="905" spans="33:33" ht="15.6" x14ac:dyDescent="0.3">
      <c r="AG905" s="1"/>
    </row>
    <row r="906" spans="33:33" ht="15.6" x14ac:dyDescent="0.3">
      <c r="AG906" s="1"/>
    </row>
    <row r="907" spans="33:33" ht="15.6" x14ac:dyDescent="0.3">
      <c r="AG907" s="1"/>
    </row>
    <row r="908" spans="33:33" ht="15.6" x14ac:dyDescent="0.3">
      <c r="AG908" s="1"/>
    </row>
    <row r="909" spans="33:33" ht="15.6" x14ac:dyDescent="0.3">
      <c r="AG909" s="1"/>
    </row>
    <row r="910" spans="33:33" ht="15.6" x14ac:dyDescent="0.3">
      <c r="AG910" s="1"/>
    </row>
    <row r="911" spans="33:33" ht="15.6" x14ac:dyDescent="0.3">
      <c r="AG911" s="1"/>
    </row>
    <row r="912" spans="33:33" ht="15.6" x14ac:dyDescent="0.3">
      <c r="AG912" s="1"/>
    </row>
    <row r="913" spans="33:33" ht="15.6" x14ac:dyDescent="0.3">
      <c r="AG913" s="1"/>
    </row>
    <row r="914" spans="33:33" ht="15.6" x14ac:dyDescent="0.3">
      <c r="AG914" s="1"/>
    </row>
    <row r="915" spans="33:33" ht="15.6" x14ac:dyDescent="0.3">
      <c r="AG915" s="1"/>
    </row>
    <row r="916" spans="33:33" ht="15.6" x14ac:dyDescent="0.3">
      <c r="AG916" s="1"/>
    </row>
    <row r="917" spans="33:33" ht="15.6" x14ac:dyDescent="0.3">
      <c r="AG917" s="1"/>
    </row>
    <row r="918" spans="33:33" ht="15.6" x14ac:dyDescent="0.3">
      <c r="AG918" s="1"/>
    </row>
    <row r="919" spans="33:33" ht="15.6" x14ac:dyDescent="0.3">
      <c r="AG919" s="1"/>
    </row>
    <row r="920" spans="33:33" ht="15.6" x14ac:dyDescent="0.3">
      <c r="AG920" s="1"/>
    </row>
    <row r="921" spans="33:33" ht="15.6" x14ac:dyDescent="0.3">
      <c r="AG921" s="1"/>
    </row>
    <row r="922" spans="33:33" ht="15.6" x14ac:dyDescent="0.3">
      <c r="AG922" s="1"/>
    </row>
    <row r="923" spans="33:33" ht="15.6" x14ac:dyDescent="0.3">
      <c r="AG923" s="1"/>
    </row>
    <row r="924" spans="33:33" ht="15.6" x14ac:dyDescent="0.3">
      <c r="AG924" s="1"/>
    </row>
    <row r="925" spans="33:33" ht="15.6" x14ac:dyDescent="0.3">
      <c r="AG925" s="1"/>
    </row>
    <row r="926" spans="33:33" ht="15.6" x14ac:dyDescent="0.3">
      <c r="AG926" s="1"/>
    </row>
    <row r="927" spans="33:33" ht="15.6" x14ac:dyDescent="0.3">
      <c r="AG927" s="1"/>
    </row>
    <row r="928" spans="33:33" ht="15.6" x14ac:dyDescent="0.3">
      <c r="AG928" s="1"/>
    </row>
    <row r="929" spans="33:33" ht="15.6" x14ac:dyDescent="0.3">
      <c r="AG929" s="1"/>
    </row>
    <row r="930" spans="33:33" ht="15.6" x14ac:dyDescent="0.3">
      <c r="AG930" s="1"/>
    </row>
    <row r="931" spans="33:33" ht="15.6" x14ac:dyDescent="0.3">
      <c r="AG931" s="1"/>
    </row>
    <row r="932" spans="33:33" ht="15.6" x14ac:dyDescent="0.3">
      <c r="AG932" s="1"/>
    </row>
    <row r="933" spans="33:33" ht="15.6" x14ac:dyDescent="0.3">
      <c r="AG933" s="1"/>
    </row>
    <row r="934" spans="33:33" ht="15.6" x14ac:dyDescent="0.3">
      <c r="AG934" s="1"/>
    </row>
    <row r="935" spans="33:33" ht="15.6" x14ac:dyDescent="0.3">
      <c r="AG935" s="1"/>
    </row>
    <row r="936" spans="33:33" ht="15.6" x14ac:dyDescent="0.3">
      <c r="AG936" s="1"/>
    </row>
    <row r="937" spans="33:33" ht="15.6" x14ac:dyDescent="0.3">
      <c r="AG937" s="1"/>
    </row>
    <row r="938" spans="33:33" ht="15.6" x14ac:dyDescent="0.3">
      <c r="AG938" s="1"/>
    </row>
    <row r="939" spans="33:33" ht="15.6" x14ac:dyDescent="0.3">
      <c r="AG939" s="1"/>
    </row>
    <row r="940" spans="33:33" ht="15.6" x14ac:dyDescent="0.3">
      <c r="AG940" s="1"/>
    </row>
    <row r="941" spans="33:33" ht="15.6" x14ac:dyDescent="0.3">
      <c r="AG941" s="1"/>
    </row>
    <row r="942" spans="33:33" ht="15.6" x14ac:dyDescent="0.3">
      <c r="AG942" s="1"/>
    </row>
    <row r="943" spans="33:33" ht="15.6" x14ac:dyDescent="0.3">
      <c r="AG943" s="1"/>
    </row>
    <row r="944" spans="33:33" ht="15.6" x14ac:dyDescent="0.3">
      <c r="AG944" s="1"/>
    </row>
    <row r="945" spans="33:33" ht="15.6" x14ac:dyDescent="0.3">
      <c r="AG945" s="1"/>
    </row>
    <row r="946" spans="33:33" ht="15.6" x14ac:dyDescent="0.3">
      <c r="AG946" s="1"/>
    </row>
    <row r="947" spans="33:33" ht="15.6" x14ac:dyDescent="0.3">
      <c r="AG947" s="1"/>
    </row>
    <row r="948" spans="33:33" ht="15.6" x14ac:dyDescent="0.3">
      <c r="AG948" s="1"/>
    </row>
    <row r="949" spans="33:33" ht="15.6" x14ac:dyDescent="0.3">
      <c r="AG949" s="1"/>
    </row>
    <row r="950" spans="33:33" ht="15.6" x14ac:dyDescent="0.3">
      <c r="AG950" s="1"/>
    </row>
    <row r="951" spans="33:33" ht="15.6" x14ac:dyDescent="0.3">
      <c r="AG951" s="1"/>
    </row>
    <row r="952" spans="33:33" ht="15.6" x14ac:dyDescent="0.3">
      <c r="AG952" s="1"/>
    </row>
    <row r="953" spans="33:33" ht="15.6" x14ac:dyDescent="0.3">
      <c r="AG953" s="1"/>
    </row>
    <row r="954" spans="33:33" ht="15.6" x14ac:dyDescent="0.3">
      <c r="AG954" s="1"/>
    </row>
    <row r="955" spans="33:33" ht="15.6" x14ac:dyDescent="0.3">
      <c r="AG955" s="1"/>
    </row>
    <row r="956" spans="33:33" ht="15.6" x14ac:dyDescent="0.3">
      <c r="AG956" s="1"/>
    </row>
    <row r="957" spans="33:33" ht="15.6" x14ac:dyDescent="0.3">
      <c r="AG957" s="1"/>
    </row>
    <row r="958" spans="33:33" ht="15.6" x14ac:dyDescent="0.3">
      <c r="AG958" s="1"/>
    </row>
    <row r="959" spans="33:33" ht="15.6" x14ac:dyDescent="0.3">
      <c r="AG959" s="1"/>
    </row>
    <row r="960" spans="33:33" ht="15.6" x14ac:dyDescent="0.3">
      <c r="AG960" s="1"/>
    </row>
    <row r="961" spans="33:33" ht="15.6" x14ac:dyDescent="0.3">
      <c r="AG961" s="1"/>
    </row>
    <row r="962" spans="33:33" ht="15.6" x14ac:dyDescent="0.3">
      <c r="AG962" s="1"/>
    </row>
    <row r="963" spans="33:33" ht="15.6" x14ac:dyDescent="0.3">
      <c r="AG963" s="1"/>
    </row>
    <row r="964" spans="33:33" ht="15.6" x14ac:dyDescent="0.3">
      <c r="AG964" s="1"/>
    </row>
    <row r="965" spans="33:33" ht="15.6" x14ac:dyDescent="0.3">
      <c r="AG965" s="1"/>
    </row>
    <row r="966" spans="33:33" ht="15.6" x14ac:dyDescent="0.3">
      <c r="AG966" s="1"/>
    </row>
    <row r="967" spans="33:33" ht="15.6" x14ac:dyDescent="0.3">
      <c r="AG967" s="1"/>
    </row>
    <row r="968" spans="33:33" ht="15.6" x14ac:dyDescent="0.3">
      <c r="AG968" s="1"/>
    </row>
    <row r="969" spans="33:33" ht="15.6" x14ac:dyDescent="0.3">
      <c r="AG969" s="1"/>
    </row>
    <row r="970" spans="33:33" ht="15.6" x14ac:dyDescent="0.3">
      <c r="AG970" s="1"/>
    </row>
    <row r="971" spans="33:33" ht="15.6" x14ac:dyDescent="0.3">
      <c r="AG971" s="1"/>
    </row>
    <row r="972" spans="33:33" ht="15.6" x14ac:dyDescent="0.3">
      <c r="AG972" s="1"/>
    </row>
    <row r="973" spans="33:33" ht="15.6" x14ac:dyDescent="0.3">
      <c r="AG973" s="1"/>
    </row>
    <row r="974" spans="33:33" ht="15.6" x14ac:dyDescent="0.3">
      <c r="AG974" s="1"/>
    </row>
    <row r="975" spans="33:33" ht="15.6" x14ac:dyDescent="0.3">
      <c r="AG975" s="1"/>
    </row>
    <row r="976" spans="33:33" ht="15.6" x14ac:dyDescent="0.3">
      <c r="AG976" s="1"/>
    </row>
    <row r="977" spans="33:33" ht="15.6" x14ac:dyDescent="0.3">
      <c r="AG977" s="1"/>
    </row>
    <row r="978" spans="33:33" ht="15.6" x14ac:dyDescent="0.3">
      <c r="AG978" s="1"/>
    </row>
    <row r="979" spans="33:33" ht="15.6" x14ac:dyDescent="0.3">
      <c r="AG979" s="1"/>
    </row>
    <row r="980" spans="33:33" ht="15.6" x14ac:dyDescent="0.3">
      <c r="AG980" s="1"/>
    </row>
    <row r="981" spans="33:33" ht="15.6" x14ac:dyDescent="0.3">
      <c r="AG981" s="1"/>
    </row>
    <row r="982" spans="33:33" ht="15.6" x14ac:dyDescent="0.3">
      <c r="AG982" s="1"/>
    </row>
    <row r="983" spans="33:33" ht="15.6" x14ac:dyDescent="0.3">
      <c r="AG983" s="1"/>
    </row>
    <row r="984" spans="33:33" ht="15.6" x14ac:dyDescent="0.3">
      <c r="AG984" s="1"/>
    </row>
    <row r="985" spans="33:33" ht="15.6" x14ac:dyDescent="0.3">
      <c r="AG985" s="1"/>
    </row>
    <row r="986" spans="33:33" ht="15.6" x14ac:dyDescent="0.3">
      <c r="AG986" s="1"/>
    </row>
    <row r="987" spans="33:33" ht="15.6" x14ac:dyDescent="0.3">
      <c r="AG987" s="1"/>
    </row>
    <row r="988" spans="33:33" ht="15.6" x14ac:dyDescent="0.3">
      <c r="AG988" s="1"/>
    </row>
    <row r="989" spans="33:33" ht="15.6" x14ac:dyDescent="0.3">
      <c r="AG989" s="1"/>
    </row>
    <row r="990" spans="33:33" ht="15.6" x14ac:dyDescent="0.3">
      <c r="AG990" s="1"/>
    </row>
    <row r="991" spans="33:33" ht="15.6" x14ac:dyDescent="0.3">
      <c r="AG991" s="1"/>
    </row>
    <row r="992" spans="33:33" ht="15.6" x14ac:dyDescent="0.3">
      <c r="AG992" s="1"/>
    </row>
    <row r="993" spans="33:33" ht="15.6" x14ac:dyDescent="0.3">
      <c r="AG993" s="1"/>
    </row>
    <row r="994" spans="33:33" ht="15.6" x14ac:dyDescent="0.3">
      <c r="AG994" s="1"/>
    </row>
    <row r="995" spans="33:33" ht="15.6" x14ac:dyDescent="0.3">
      <c r="AG995" s="1"/>
    </row>
    <row r="996" spans="33:33" ht="15.6" x14ac:dyDescent="0.3">
      <c r="AG996" s="1"/>
    </row>
    <row r="997" spans="33:33" ht="15.6" x14ac:dyDescent="0.3">
      <c r="AG997" s="1"/>
    </row>
    <row r="998" spans="33:33" ht="15.6" x14ac:dyDescent="0.3">
      <c r="AG998" s="1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E43"/>
  <sheetViews>
    <sheetView workbookViewId="0"/>
  </sheetViews>
  <sheetFormatPr defaultColWidth="11.19921875" defaultRowHeight="15" customHeight="1" x14ac:dyDescent="0.3"/>
  <cols>
    <col min="1" max="1" width="17.59765625" customWidth="1"/>
    <col min="2" max="2" width="11" customWidth="1"/>
    <col min="3" max="3" width="38.19921875" customWidth="1"/>
    <col min="4" max="4" width="78.8984375" customWidth="1"/>
    <col min="5" max="5" width="41.59765625" customWidth="1"/>
    <col min="6" max="26" width="8.59765625" customWidth="1"/>
  </cols>
  <sheetData>
    <row r="2" spans="2:5" ht="15" customHeight="1" x14ac:dyDescent="0.3">
      <c r="B2" s="33" t="s">
        <v>80</v>
      </c>
      <c r="C2" s="43" t="s">
        <v>81</v>
      </c>
      <c r="D2" s="44"/>
      <c r="E2" s="45"/>
    </row>
    <row r="3" spans="2:5" ht="15" customHeight="1" x14ac:dyDescent="0.3">
      <c r="B3" s="34">
        <v>1</v>
      </c>
      <c r="C3" s="35" t="s">
        <v>5</v>
      </c>
      <c r="D3" s="36" t="s">
        <v>82</v>
      </c>
      <c r="E3" s="30" t="s">
        <v>83</v>
      </c>
    </row>
    <row r="4" spans="2:5" ht="15" customHeight="1" x14ac:dyDescent="0.3">
      <c r="B4" s="34">
        <v>2</v>
      </c>
      <c r="C4" s="37" t="s">
        <v>6</v>
      </c>
      <c r="D4" s="30" t="s">
        <v>84</v>
      </c>
      <c r="E4" s="30" t="s">
        <v>83</v>
      </c>
    </row>
    <row r="5" spans="2:5" ht="15" customHeight="1" x14ac:dyDescent="0.3">
      <c r="B5" s="34">
        <v>3</v>
      </c>
      <c r="C5" s="37" t="s">
        <v>7</v>
      </c>
      <c r="D5" s="30" t="s">
        <v>85</v>
      </c>
      <c r="E5" s="30" t="s">
        <v>83</v>
      </c>
    </row>
    <row r="6" spans="2:5" ht="15" customHeight="1" x14ac:dyDescent="0.3">
      <c r="B6" s="34">
        <v>4</v>
      </c>
      <c r="C6" s="37" t="s">
        <v>8</v>
      </c>
      <c r="D6" s="30" t="s">
        <v>86</v>
      </c>
      <c r="E6" s="30" t="s">
        <v>83</v>
      </c>
    </row>
    <row r="7" spans="2:5" ht="15" customHeight="1" x14ac:dyDescent="0.3">
      <c r="B7" s="34">
        <v>5</v>
      </c>
      <c r="C7" s="37" t="s">
        <v>9</v>
      </c>
      <c r="D7" s="30" t="s">
        <v>87</v>
      </c>
      <c r="E7" s="30" t="s">
        <v>88</v>
      </c>
    </row>
    <row r="8" spans="2:5" ht="15" customHeight="1" x14ac:dyDescent="0.3">
      <c r="B8" s="34">
        <v>6</v>
      </c>
      <c r="C8" s="37" t="s">
        <v>89</v>
      </c>
      <c r="D8" s="30" t="s">
        <v>90</v>
      </c>
      <c r="E8" s="30" t="s">
        <v>91</v>
      </c>
    </row>
    <row r="9" spans="2:5" ht="15" customHeight="1" x14ac:dyDescent="0.3">
      <c r="B9" s="34">
        <v>7</v>
      </c>
      <c r="C9" s="37" t="s">
        <v>12</v>
      </c>
      <c r="D9" s="30" t="s">
        <v>92</v>
      </c>
      <c r="E9" s="30" t="s">
        <v>93</v>
      </c>
    </row>
    <row r="10" spans="2:5" ht="15" customHeight="1" x14ac:dyDescent="0.3">
      <c r="B10" s="34">
        <v>8</v>
      </c>
      <c r="C10" s="37" t="s">
        <v>13</v>
      </c>
      <c r="D10" s="30" t="s">
        <v>94</v>
      </c>
      <c r="E10" s="30" t="s">
        <v>95</v>
      </c>
    </row>
    <row r="11" spans="2:5" ht="15" customHeight="1" x14ac:dyDescent="0.3">
      <c r="B11" s="34">
        <v>9</v>
      </c>
      <c r="C11" s="37" t="s">
        <v>14</v>
      </c>
      <c r="D11" s="30" t="s">
        <v>96</v>
      </c>
      <c r="E11" s="30" t="s">
        <v>95</v>
      </c>
    </row>
    <row r="12" spans="2:5" ht="15" customHeight="1" x14ac:dyDescent="0.3">
      <c r="B12" s="34">
        <v>10</v>
      </c>
      <c r="C12" s="37" t="s">
        <v>15</v>
      </c>
      <c r="D12" s="30" t="s">
        <v>97</v>
      </c>
      <c r="E12" s="30" t="s">
        <v>98</v>
      </c>
    </row>
    <row r="13" spans="2:5" ht="15" customHeight="1" x14ac:dyDescent="0.3">
      <c r="B13" s="34">
        <v>11</v>
      </c>
      <c r="C13" s="37" t="s">
        <v>16</v>
      </c>
      <c r="D13" s="30" t="s">
        <v>99</v>
      </c>
      <c r="E13" s="30" t="s">
        <v>95</v>
      </c>
    </row>
    <row r="14" spans="2:5" ht="15" customHeight="1" x14ac:dyDescent="0.3">
      <c r="B14" s="34">
        <v>12</v>
      </c>
      <c r="C14" s="37" t="s">
        <v>17</v>
      </c>
      <c r="D14" s="30" t="s">
        <v>100</v>
      </c>
      <c r="E14" s="30" t="s">
        <v>101</v>
      </c>
    </row>
    <row r="15" spans="2:5" ht="15" customHeight="1" x14ac:dyDescent="0.3">
      <c r="B15" s="34">
        <v>13</v>
      </c>
      <c r="C15" s="37" t="s">
        <v>18</v>
      </c>
      <c r="D15" s="30" t="s">
        <v>102</v>
      </c>
      <c r="E15" s="30" t="s">
        <v>103</v>
      </c>
    </row>
    <row r="16" spans="2:5" ht="15" customHeight="1" x14ac:dyDescent="0.3">
      <c r="B16" s="34">
        <v>14</v>
      </c>
      <c r="C16" s="37" t="s">
        <v>20</v>
      </c>
      <c r="D16" s="30" t="s">
        <v>104</v>
      </c>
      <c r="E16" s="30" t="s">
        <v>105</v>
      </c>
    </row>
    <row r="17" spans="2:5" ht="15" customHeight="1" x14ac:dyDescent="0.3">
      <c r="B17" s="34">
        <v>15</v>
      </c>
      <c r="C17" s="37" t="s">
        <v>21</v>
      </c>
      <c r="D17" s="30" t="s">
        <v>106</v>
      </c>
      <c r="E17" s="30" t="s">
        <v>105</v>
      </c>
    </row>
    <row r="18" spans="2:5" ht="15" customHeight="1" x14ac:dyDescent="0.3">
      <c r="B18" s="34">
        <v>16</v>
      </c>
      <c r="C18" s="37" t="s">
        <v>22</v>
      </c>
      <c r="D18" s="30" t="s">
        <v>107</v>
      </c>
      <c r="E18" s="30" t="s">
        <v>103</v>
      </c>
    </row>
    <row r="19" spans="2:5" ht="15" customHeight="1" x14ac:dyDescent="0.3">
      <c r="B19" s="34">
        <v>17</v>
      </c>
      <c r="C19" s="38" t="s">
        <v>23</v>
      </c>
      <c r="D19" s="30" t="s">
        <v>108</v>
      </c>
      <c r="E19" s="30" t="s">
        <v>109</v>
      </c>
    </row>
    <row r="20" spans="2:5" ht="15" customHeight="1" x14ac:dyDescent="0.3">
      <c r="B20" s="34">
        <v>18</v>
      </c>
      <c r="C20" s="39" t="s">
        <v>19</v>
      </c>
      <c r="D20" s="30" t="s">
        <v>110</v>
      </c>
      <c r="E20" s="30" t="s">
        <v>111</v>
      </c>
    </row>
    <row r="21" spans="2:5" ht="15" customHeight="1" x14ac:dyDescent="0.3">
      <c r="B21" s="34">
        <v>19</v>
      </c>
      <c r="C21" s="39" t="s">
        <v>24</v>
      </c>
      <c r="D21" s="30" t="s">
        <v>112</v>
      </c>
      <c r="E21" s="30" t="s">
        <v>111</v>
      </c>
    </row>
    <row r="22" spans="2:5" ht="15" customHeight="1" x14ac:dyDescent="0.3">
      <c r="B22" s="34">
        <v>20</v>
      </c>
      <c r="C22" s="39" t="s">
        <v>25</v>
      </c>
      <c r="D22" s="30" t="s">
        <v>113</v>
      </c>
      <c r="E22" s="30" t="s">
        <v>111</v>
      </c>
    </row>
    <row r="23" spans="2:5" ht="15" customHeight="1" x14ac:dyDescent="0.3">
      <c r="B23" s="34">
        <v>21</v>
      </c>
      <c r="C23" s="40" t="s">
        <v>26</v>
      </c>
      <c r="D23" s="30" t="s">
        <v>114</v>
      </c>
      <c r="E23" s="30" t="s">
        <v>101</v>
      </c>
    </row>
    <row r="24" spans="2:5" ht="15" customHeight="1" x14ac:dyDescent="0.3">
      <c r="B24" s="34">
        <v>22</v>
      </c>
      <c r="C24" s="37" t="s">
        <v>27</v>
      </c>
      <c r="D24" s="30" t="s">
        <v>115</v>
      </c>
      <c r="E24" s="30" t="s">
        <v>93</v>
      </c>
    </row>
    <row r="25" spans="2:5" ht="15" customHeight="1" x14ac:dyDescent="0.3">
      <c r="B25" s="34">
        <v>23</v>
      </c>
      <c r="C25" s="37" t="s">
        <v>28</v>
      </c>
      <c r="D25" s="30" t="s">
        <v>116</v>
      </c>
      <c r="E25" s="30" t="s">
        <v>117</v>
      </c>
    </row>
    <row r="26" spans="2:5" ht="15" customHeight="1" x14ac:dyDescent="0.3">
      <c r="B26" s="34">
        <v>24</v>
      </c>
      <c r="C26" s="37" t="s">
        <v>30</v>
      </c>
      <c r="D26" s="30" t="s">
        <v>118</v>
      </c>
      <c r="E26" s="30" t="s">
        <v>93</v>
      </c>
    </row>
    <row r="27" spans="2:5" ht="15" customHeight="1" x14ac:dyDescent="0.3">
      <c r="B27" s="34">
        <v>25</v>
      </c>
      <c r="C27" s="37" t="s">
        <v>31</v>
      </c>
      <c r="D27" s="30" t="s">
        <v>119</v>
      </c>
      <c r="E27" s="30" t="s">
        <v>120</v>
      </c>
    </row>
    <row r="28" spans="2:5" ht="15.6" x14ac:dyDescent="0.3">
      <c r="B28" s="34">
        <v>26</v>
      </c>
      <c r="C28" s="37" t="s">
        <v>32</v>
      </c>
      <c r="D28" s="30" t="s">
        <v>121</v>
      </c>
      <c r="E28" s="30" t="s">
        <v>122</v>
      </c>
    </row>
    <row r="29" spans="2:5" ht="15.6" x14ac:dyDescent="0.3">
      <c r="B29" s="34">
        <v>27</v>
      </c>
      <c r="C29" s="37" t="s">
        <v>33</v>
      </c>
      <c r="D29" s="30" t="s">
        <v>123</v>
      </c>
      <c r="E29" s="30" t="s">
        <v>120</v>
      </c>
    </row>
    <row r="30" spans="2:5" ht="15.6" x14ac:dyDescent="0.3">
      <c r="B30" s="34">
        <v>28</v>
      </c>
      <c r="C30" s="37" t="s">
        <v>34</v>
      </c>
      <c r="D30" s="30" t="s">
        <v>124</v>
      </c>
      <c r="E30" s="30" t="s">
        <v>125</v>
      </c>
    </row>
    <row r="31" spans="2:5" ht="15.6" x14ac:dyDescent="0.3">
      <c r="B31" s="34">
        <v>29</v>
      </c>
      <c r="C31" s="37" t="s">
        <v>35</v>
      </c>
      <c r="D31" s="30" t="s">
        <v>126</v>
      </c>
      <c r="E31" s="30" t="s">
        <v>93</v>
      </c>
    </row>
    <row r="32" spans="2:5" ht="15.6" x14ac:dyDescent="0.3">
      <c r="B32" s="34">
        <v>30</v>
      </c>
      <c r="C32" s="37" t="s">
        <v>36</v>
      </c>
      <c r="D32" s="30" t="s">
        <v>127</v>
      </c>
      <c r="E32" s="30" t="s">
        <v>93</v>
      </c>
    </row>
    <row r="33" spans="2:5" ht="15.6" x14ac:dyDescent="0.3">
      <c r="B33" s="34">
        <v>31</v>
      </c>
      <c r="C33" s="37" t="s">
        <v>37</v>
      </c>
      <c r="D33" s="30" t="s">
        <v>128</v>
      </c>
      <c r="E33" s="30" t="s">
        <v>93</v>
      </c>
    </row>
    <row r="34" spans="2:5" ht="15.6" x14ac:dyDescent="0.3">
      <c r="B34" s="34">
        <v>32</v>
      </c>
      <c r="C34" s="41" t="s">
        <v>38</v>
      </c>
      <c r="D34" s="30" t="s">
        <v>129</v>
      </c>
      <c r="E34" s="30" t="s">
        <v>101</v>
      </c>
    </row>
    <row r="35" spans="2:5" ht="15.6" x14ac:dyDescent="0.3">
      <c r="B35" s="34">
        <v>33</v>
      </c>
      <c r="C35" s="41" t="s">
        <v>39</v>
      </c>
      <c r="D35" s="30" t="s">
        <v>130</v>
      </c>
      <c r="E35" s="30" t="s">
        <v>93</v>
      </c>
    </row>
    <row r="36" spans="2:5" ht="15.6" x14ac:dyDescent="0.3">
      <c r="B36" s="34">
        <v>34</v>
      </c>
      <c r="C36" s="41" t="s">
        <v>40</v>
      </c>
      <c r="D36" s="30" t="s">
        <v>131</v>
      </c>
      <c r="E36" s="30" t="s">
        <v>132</v>
      </c>
    </row>
    <row r="37" spans="2:5" ht="15.6" x14ac:dyDescent="0.3">
      <c r="B37" s="34">
        <v>35</v>
      </c>
      <c r="C37" s="41" t="s">
        <v>41</v>
      </c>
      <c r="D37" s="30" t="s">
        <v>133</v>
      </c>
      <c r="E37" s="30" t="s">
        <v>101</v>
      </c>
    </row>
    <row r="38" spans="2:5" ht="15.6" x14ac:dyDescent="0.3">
      <c r="B38" s="34">
        <v>36</v>
      </c>
      <c r="C38" s="41" t="s">
        <v>42</v>
      </c>
      <c r="D38" s="30" t="s">
        <v>134</v>
      </c>
      <c r="E38" s="30" t="s">
        <v>135</v>
      </c>
    </row>
    <row r="39" spans="2:5" ht="15.6" x14ac:dyDescent="0.3">
      <c r="B39" s="34">
        <v>37</v>
      </c>
      <c r="C39" s="41" t="s">
        <v>43</v>
      </c>
      <c r="D39" s="30" t="s">
        <v>136</v>
      </c>
      <c r="E39" s="30" t="s">
        <v>95</v>
      </c>
    </row>
    <row r="40" spans="2:5" ht="15.6" x14ac:dyDescent="0.3">
      <c r="B40" s="34">
        <v>38</v>
      </c>
      <c r="C40" s="41" t="s">
        <v>44</v>
      </c>
      <c r="D40" s="30" t="s">
        <v>137</v>
      </c>
      <c r="E40" s="30" t="s">
        <v>135</v>
      </c>
    </row>
    <row r="41" spans="2:5" ht="15.6" x14ac:dyDescent="0.3">
      <c r="B41" s="42"/>
    </row>
    <row r="43" spans="2:5" ht="17.399999999999999" x14ac:dyDescent="0.3">
      <c r="B43" s="46" t="s">
        <v>138</v>
      </c>
      <c r="C43" s="44"/>
      <c r="D43" s="45"/>
    </row>
  </sheetData>
  <mergeCells count="2">
    <mergeCell ref="C2:E2"/>
    <mergeCell ref="B43:D43"/>
  </mergeCells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DS công ty</vt:lpstr>
      <vt:lpstr>Variables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Hoang Thi Le Xuan</cp:lastModifiedBy>
  <dcterms:modified xsi:type="dcterms:W3CDTF">2026-03-14T07:15:37Z</dcterms:modified>
</cp:coreProperties>
</file>